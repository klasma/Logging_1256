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46279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46279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46279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46279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46279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46279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46279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46279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46279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46279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46279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46279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46279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46279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46279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46279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46279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46279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46279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46279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46279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46279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46279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46279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46279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46279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46279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46279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45359-2023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46279</v>
      </c>
      <c r="F41" t="inlineStr">
        <is>
          <t>SKÅNE LÄN</t>
        </is>
      </c>
      <c r="G41" t="inlineStr">
        <is>
          <t>ÖSTRA GÖINGE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HYPERLINK("https://klasma.github.io/Logging_1256/artfynd/A 45359-2023 artfynd.xlsx", "A 45359-2023")</f>
        <v/>
      </c>
      <c r="X41">
        <f>HYPERLINK("https://klasma.github.io/Logging_1256/kartor/A 45359-2023 karta.png", "A 45359-2023")</f>
        <v/>
      </c>
      <c r="Y41">
        <f>HYPERLINK("https://klasma.github.io/Logging_1256/kartor_geotiff/A 45359-2023 georefererad karta.tif", "A 45359-2023")</f>
        <v/>
      </c>
      <c r="AA41">
        <f>HYPERLINK("https://klasma.github.io/Logging_1256/klagomål/A 45359-2023 FSC-klagomål.docx", "A 45359-2023")</f>
        <v/>
      </c>
      <c r="AB41">
        <f>HYPERLINK("https://klasma.github.io/Logging_1256/klagomålsmail/A 45359-2023 FSC-klagomål mail.docx", "A 45359-2023")</f>
        <v/>
      </c>
      <c r="AC41">
        <f>HYPERLINK("https://klasma.github.io/Logging_1256/tillsyn/A 45359-2023 tillsynsbegäran.docx", "A 45359-2023")</f>
        <v/>
      </c>
      <c r="AD41">
        <f>HYPERLINK("https://klasma.github.io/Logging_1256/tillsynsmail/A 45359-2023 tillsynsbegäran mail.docx", "A 45359-2023")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46279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45327</v>
      </c>
      <c r="E43" s="1" t="n">
        <v>46279</v>
      </c>
      <c r="F43" t="inlineStr">
        <is>
          <t>SKÅNE LÄN</t>
        </is>
      </c>
      <c r="G43" t="inlineStr">
        <is>
          <t>ÖSTRA GÖINGE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4383-2024 artfynd.xlsx", "A 4383-2024")</f>
        <v/>
      </c>
      <c r="X43">
        <f>HYPERLINK("https://klasma.github.io/Logging_1256/kartor/A 4383-2024 karta.png", "A 4383-2024")</f>
        <v/>
      </c>
      <c r="Y43">
        <f>HYPERLINK("https://klasma.github.io/Logging_1256/kartor_geotiff/A 4383-2024 georefererad karta.tif", "A 4383-2024")</f>
        <v/>
      </c>
      <c r="AA43">
        <f>HYPERLINK("https://klasma.github.io/Logging_1256/klagomål/A 4383-2024 FSC-klagomål.docx", "A 4383-2024")</f>
        <v/>
      </c>
      <c r="AB43">
        <f>HYPERLINK("https://klasma.github.io/Logging_1256/klagomålsmail/A 4383-2024 FSC-klagomål mail.docx", "A 4383-2024")</f>
        <v/>
      </c>
      <c r="AC43">
        <f>HYPERLINK("https://klasma.github.io/Logging_1256/tillsyn/A 4383-2024 tillsynsbegäran.docx", "A 4383-2024")</f>
        <v/>
      </c>
      <c r="AD43">
        <f>HYPERLINK("https://klasma.github.io/Logging_1256/tillsynsmail/A 4383-2024 tillsynsbegäran mail.docx", "A 4383-2024")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46279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46279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46279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46279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46279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46279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46279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46279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46279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46279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46279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46279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46279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46279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46279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46279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46279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46279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46279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46279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46279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46279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46279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46279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46279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46279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46279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46279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46279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46279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46279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46279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46279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46279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46279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46279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46279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46279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46279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46279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46279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46279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46279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46279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46279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46279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46279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46279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46279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46279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46279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46279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46279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46279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46279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46279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46279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46279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46279</v>
      </c>
      <c r="F105" t="inlineStr">
        <is>
          <t>SKÅNE LÄN</t>
        </is>
      </c>
      <c r="G105" t="inlineStr">
        <is>
          <t>ÖSTRA GÖINGE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46279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46279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46279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46279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46279</v>
      </c>
      <c r="F110" t="inlineStr">
        <is>
          <t>SKÅNE LÄN</t>
        </is>
      </c>
      <c r="G110" t="inlineStr">
        <is>
          <t>ÖSTRA GÖINGE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46279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46279</v>
      </c>
      <c r="F112" t="inlineStr">
        <is>
          <t>SKÅNE LÄN</t>
        </is>
      </c>
      <c r="G112" t="inlineStr">
        <is>
          <t>ÖSTRA GÖINGE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45410</v>
      </c>
      <c r="E113" s="1" t="n">
        <v>46279</v>
      </c>
      <c r="F113" t="inlineStr">
        <is>
          <t>SKÅNE LÄN</t>
        </is>
      </c>
      <c r="G113" t="inlineStr">
        <is>
          <t>ÖSTRA GÖINGE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46279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46279</v>
      </c>
      <c r="F115" t="inlineStr">
        <is>
          <t>SKÅNE LÄN</t>
        </is>
      </c>
      <c r="G115" t="inlineStr">
        <is>
          <t>ÖSTRA GÖINGE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46279</v>
      </c>
      <c r="F116" t="inlineStr">
        <is>
          <t>SKÅNE LÄN</t>
        </is>
      </c>
      <c r="G116" t="inlineStr">
        <is>
          <t>ÖSTRA GÖINGE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46279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46279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69383-2021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44531</v>
      </c>
      <c r="E119" s="1" t="n">
        <v>46279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46279</v>
      </c>
      <c r="F120" t="inlineStr">
        <is>
          <t>SKÅNE LÄN</t>
        </is>
      </c>
      <c r="G120" t="inlineStr">
        <is>
          <t>ÖSTRA GÖINGE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45483</v>
      </c>
      <c r="E121" s="1" t="n">
        <v>46279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46279</v>
      </c>
      <c r="F122" t="inlineStr">
        <is>
          <t>SKÅNE LÄN</t>
        </is>
      </c>
      <c r="G122" t="inlineStr">
        <is>
          <t>ÖSTRA GÖINGE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46279</v>
      </c>
      <c r="F123" t="inlineStr">
        <is>
          <t>SKÅNE LÄN</t>
        </is>
      </c>
      <c r="G123" t="inlineStr">
        <is>
          <t>ÖSTRA GÖINGE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44887</v>
      </c>
      <c r="E124" s="1" t="n">
        <v>46279</v>
      </c>
      <c r="F124" t="inlineStr">
        <is>
          <t>SKÅNE LÄN</t>
        </is>
      </c>
      <c r="G124" t="inlineStr">
        <is>
          <t>ÖSTRA GÖINGE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44992</v>
      </c>
      <c r="E125" s="1" t="n">
        <v>46279</v>
      </c>
      <c r="F125" t="inlineStr">
        <is>
          <t>SKÅNE LÄN</t>
        </is>
      </c>
      <c r="G125" t="inlineStr">
        <is>
          <t>ÖSTRA GÖINGE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46279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46279</v>
      </c>
      <c r="F127" t="inlineStr">
        <is>
          <t>SKÅNE LÄN</t>
        </is>
      </c>
      <c r="G127" t="inlineStr">
        <is>
          <t>ÖSTRA GÖINGE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46279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46279</v>
      </c>
      <c r="F129" t="inlineStr">
        <is>
          <t>SKÅNE LÄN</t>
        </is>
      </c>
      <c r="G129" t="inlineStr">
        <is>
          <t>ÖSTRA GÖINGE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46279</v>
      </c>
      <c r="F130" t="inlineStr">
        <is>
          <t>SKÅNE LÄN</t>
        </is>
      </c>
      <c r="G130" t="inlineStr">
        <is>
          <t>ÖSTRA GÖINGE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46279</v>
      </c>
      <c r="F131" t="inlineStr">
        <is>
          <t>SKÅNE LÄN</t>
        </is>
      </c>
      <c r="G131" t="inlineStr">
        <is>
          <t>ÖSTRA GÖINGE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46279</v>
      </c>
      <c r="F132" t="inlineStr">
        <is>
          <t>SKÅNE LÄN</t>
        </is>
      </c>
      <c r="G132" t="inlineStr">
        <is>
          <t>ÖSTRA GÖINGE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46279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45271</v>
      </c>
      <c r="E134" s="1" t="n">
        <v>46279</v>
      </c>
      <c r="F134" t="inlineStr">
        <is>
          <t>SKÅNE LÄN</t>
        </is>
      </c>
      <c r="G134" t="inlineStr">
        <is>
          <t>ÖSTRA GÖINGE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74142-2021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46279</v>
      </c>
      <c r="F135" t="inlineStr">
        <is>
          <t>SKÅNE LÄN</t>
        </is>
      </c>
      <c r="G135" t="inlineStr">
        <is>
          <t>ÖSTRA GÖINGE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46279</v>
      </c>
      <c r="F136" t="inlineStr">
        <is>
          <t>SKÅNE LÄN</t>
        </is>
      </c>
      <c r="G136" t="inlineStr">
        <is>
          <t>ÖSTRA GÖINGE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46279</v>
      </c>
      <c r="F137" t="inlineStr">
        <is>
          <t>SKÅNE LÄN</t>
        </is>
      </c>
      <c r="G137" t="inlineStr">
        <is>
          <t>ÖSTRA GÖINGE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46279</v>
      </c>
      <c r="F138" t="inlineStr">
        <is>
          <t>SKÅNE LÄN</t>
        </is>
      </c>
      <c r="G138" t="inlineStr">
        <is>
          <t>ÖSTRA GÖINGE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46279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46279</v>
      </c>
      <c r="F140" t="inlineStr">
        <is>
          <t>SKÅNE LÄN</t>
        </is>
      </c>
      <c r="G140" t="inlineStr">
        <is>
          <t>ÖSTRA GÖINGE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46279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57529-2022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46279</v>
      </c>
      <c r="F142" t="inlineStr">
        <is>
          <t>SKÅNE LÄN</t>
        </is>
      </c>
      <c r="G142" t="inlineStr">
        <is>
          <t>ÖSTRA GÖINGE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46279</v>
      </c>
      <c r="F143" t="inlineStr">
        <is>
          <t>SKÅNE LÄN</t>
        </is>
      </c>
      <c r="G143" t="inlineStr">
        <is>
          <t>ÖSTRA GÖINGE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46279</v>
      </c>
      <c r="F144" t="inlineStr">
        <is>
          <t>SKÅNE LÄN</t>
        </is>
      </c>
      <c r="G144" t="inlineStr">
        <is>
          <t>ÖSTRA GÖINGE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46279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46279</v>
      </c>
      <c r="F146" t="inlineStr">
        <is>
          <t>SKÅNE LÄN</t>
        </is>
      </c>
      <c r="G146" t="inlineStr">
        <is>
          <t>ÖSTRA GÖINGE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46279</v>
      </c>
      <c r="F147" t="inlineStr">
        <is>
          <t>SKÅNE LÄN</t>
        </is>
      </c>
      <c r="G147" t="inlineStr">
        <is>
          <t>ÖSTRA GÖINGE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46279</v>
      </c>
      <c r="F148" t="inlineStr">
        <is>
          <t>SKÅNE LÄN</t>
        </is>
      </c>
      <c r="G148" t="inlineStr">
        <is>
          <t>ÖSTRA GÖINGE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46279</v>
      </c>
      <c r="F149" t="inlineStr">
        <is>
          <t>SKÅNE LÄN</t>
        </is>
      </c>
      <c r="G149" t="inlineStr">
        <is>
          <t>ÖSTRA GÖINGE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46279</v>
      </c>
      <c r="F150" t="inlineStr">
        <is>
          <t>SKÅNE LÄN</t>
        </is>
      </c>
      <c r="G150" t="inlineStr">
        <is>
          <t>ÖSTRA GÖINGE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46279</v>
      </c>
      <c r="F151" t="inlineStr">
        <is>
          <t>SKÅNE LÄN</t>
        </is>
      </c>
      <c r="G151" t="inlineStr">
        <is>
          <t>ÖSTRA GÖINGE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46279</v>
      </c>
      <c r="F152" t="inlineStr">
        <is>
          <t>SKÅNE LÄN</t>
        </is>
      </c>
      <c r="G152" t="inlineStr">
        <is>
          <t>ÖSTRA GÖINGE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46279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46279</v>
      </c>
      <c r="F154" t="inlineStr">
        <is>
          <t>SKÅNE LÄN</t>
        </is>
      </c>
      <c r="G154" t="inlineStr">
        <is>
          <t>ÖSTRA GÖINGE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46279</v>
      </c>
      <c r="F155" t="inlineStr">
        <is>
          <t>SKÅNE LÄN</t>
        </is>
      </c>
      <c r="G155" t="inlineStr">
        <is>
          <t>ÖSTRA GÖINGE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46279</v>
      </c>
      <c r="F156" t="inlineStr">
        <is>
          <t>SKÅNE LÄN</t>
        </is>
      </c>
      <c r="G156" t="inlineStr">
        <is>
          <t>ÖSTRA GÖINGE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46279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59188-2022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46279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46279</v>
      </c>
      <c r="F159" t="inlineStr">
        <is>
          <t>SKÅNE LÄN</t>
        </is>
      </c>
      <c r="G159" t="inlineStr">
        <is>
          <t>ÖSTRA GÖINGE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46279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34931-2023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45142</v>
      </c>
      <c r="E161" s="1" t="n">
        <v>46279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46279</v>
      </c>
      <c r="F162" t="inlineStr">
        <is>
          <t>SKÅNE LÄN</t>
        </is>
      </c>
      <c r="G162" t="inlineStr">
        <is>
          <t>ÖSTRA GÖINGE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46279</v>
      </c>
      <c r="F163" t="inlineStr">
        <is>
          <t>SKÅNE LÄN</t>
        </is>
      </c>
      <c r="G163" t="inlineStr">
        <is>
          <t>ÖSTRA GÖINGE</t>
        </is>
      </c>
      <c r="H163" t="inlineStr">
        <is>
          <t>Kyrkan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46279</v>
      </c>
      <c r="F164" t="inlineStr">
        <is>
          <t>SKÅNE LÄN</t>
        </is>
      </c>
      <c r="G164" t="inlineStr">
        <is>
          <t>ÖSTRA GÖINGE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45848</v>
      </c>
      <c r="E165" s="1" t="n">
        <v>46279</v>
      </c>
      <c r="F165" t="inlineStr">
        <is>
          <t>SKÅNE LÄN</t>
        </is>
      </c>
      <c r="G165" t="inlineStr">
        <is>
          <t>ÖSTRA GÖINGE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46279</v>
      </c>
      <c r="F166" t="inlineStr">
        <is>
          <t>SKÅNE LÄN</t>
        </is>
      </c>
      <c r="G166" t="inlineStr">
        <is>
          <t>ÖSTRA GÖINGE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46279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46279</v>
      </c>
      <c r="F168" t="inlineStr">
        <is>
          <t>SKÅNE LÄN</t>
        </is>
      </c>
      <c r="G168" t="inlineStr">
        <is>
          <t>ÖSTRA GÖINGE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46279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46279</v>
      </c>
      <c r="F170" t="inlineStr">
        <is>
          <t>SKÅNE LÄN</t>
        </is>
      </c>
      <c r="G170" t="inlineStr">
        <is>
          <t>ÖSTRA GÖINGE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46279</v>
      </c>
      <c r="F171" t="inlineStr">
        <is>
          <t>SKÅNE LÄN</t>
        </is>
      </c>
      <c r="G171" t="inlineStr">
        <is>
          <t>ÖSTRA GÖINGE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46279</v>
      </c>
      <c r="F172" t="inlineStr">
        <is>
          <t>SKÅNE LÄN</t>
        </is>
      </c>
      <c r="G172" t="inlineStr">
        <is>
          <t>ÖSTRA GÖINGE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36324-2022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44803</v>
      </c>
      <c r="E173" s="1" t="n">
        <v>46279</v>
      </c>
      <c r="F173" t="inlineStr">
        <is>
          <t>SKÅNE LÄN</t>
        </is>
      </c>
      <c r="G173" t="inlineStr">
        <is>
          <t>ÖSTRA GÖINGE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35547-2023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45146</v>
      </c>
      <c r="E174" s="1" t="n">
        <v>46279</v>
      </c>
      <c r="F174" t="inlineStr">
        <is>
          <t>SKÅNE LÄN</t>
        </is>
      </c>
      <c r="G174" t="inlineStr">
        <is>
          <t>ÖSTRA GÖINGE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46279</v>
      </c>
      <c r="F175" t="inlineStr">
        <is>
          <t>SKÅNE LÄN</t>
        </is>
      </c>
      <c r="G175" t="inlineStr">
        <is>
          <t>ÖSTRA GÖINGE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46279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46279</v>
      </c>
      <c r="F177" t="inlineStr">
        <is>
          <t>SKÅNE LÄN</t>
        </is>
      </c>
      <c r="G177" t="inlineStr">
        <is>
          <t>ÖSTRA GÖINGE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46279</v>
      </c>
      <c r="F178" t="inlineStr">
        <is>
          <t>SKÅNE LÄN</t>
        </is>
      </c>
      <c r="G178" t="inlineStr">
        <is>
          <t>ÖSTRA GÖINGE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46279</v>
      </c>
      <c r="F179" t="inlineStr">
        <is>
          <t>SKÅNE LÄN</t>
        </is>
      </c>
      <c r="G179" t="inlineStr">
        <is>
          <t>ÖSTRA GÖINGE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46279</v>
      </c>
      <c r="F180" t="inlineStr">
        <is>
          <t>SKÅNE LÄN</t>
        </is>
      </c>
      <c r="G180" t="inlineStr">
        <is>
          <t>ÖSTRA GÖINGE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46279</v>
      </c>
      <c r="F181" t="inlineStr">
        <is>
          <t>SKÅNE LÄN</t>
        </is>
      </c>
      <c r="G181" t="inlineStr">
        <is>
          <t>ÖSTRA GÖINGE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46279</v>
      </c>
      <c r="F182" t="inlineStr">
        <is>
          <t>SKÅNE LÄN</t>
        </is>
      </c>
      <c r="G182" t="inlineStr">
        <is>
          <t>ÖSTRA GÖINGE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46279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46279</v>
      </c>
      <c r="F184" t="inlineStr">
        <is>
          <t>SKÅNE LÄN</t>
        </is>
      </c>
      <c r="G184" t="inlineStr">
        <is>
          <t>ÖSTRA GÖINGE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46279</v>
      </c>
      <c r="F185" t="inlineStr">
        <is>
          <t>SKÅNE LÄN</t>
        </is>
      </c>
      <c r="G185" t="inlineStr">
        <is>
          <t>ÖSTRA GÖINGE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46279</v>
      </c>
      <c r="F186" t="inlineStr">
        <is>
          <t>SKÅNE LÄN</t>
        </is>
      </c>
      <c r="G186" t="inlineStr">
        <is>
          <t>ÖSTRA GÖINGE</t>
        </is>
      </c>
      <c r="I186" t="n">
        <v>11.9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46279</v>
      </c>
      <c r="F187" t="inlineStr">
        <is>
          <t>SKÅNE LÄN</t>
        </is>
      </c>
      <c r="G187" t="inlineStr">
        <is>
          <t>ÖSTRA GÖINGE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46279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45856</v>
      </c>
      <c r="E189" s="1" t="n">
        <v>46279</v>
      </c>
      <c r="F189" t="inlineStr">
        <is>
          <t>SKÅNE LÄN</t>
        </is>
      </c>
      <c r="G189" t="inlineStr">
        <is>
          <t>ÖSTRA GÖINGE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46279</v>
      </c>
      <c r="F190" t="inlineStr">
        <is>
          <t>SKÅNE LÄN</t>
        </is>
      </c>
      <c r="G190" t="inlineStr">
        <is>
          <t>ÖSTRA GÖINGE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46279</v>
      </c>
      <c r="F191" t="inlineStr">
        <is>
          <t>SKÅNE LÄN</t>
        </is>
      </c>
      <c r="G191" t="inlineStr">
        <is>
          <t>ÖSTRA GÖINGE</t>
        </is>
      </c>
      <c r="I191" t="n">
        <v>12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46279</v>
      </c>
      <c r="F192" t="inlineStr">
        <is>
          <t>SKÅNE LÄN</t>
        </is>
      </c>
      <c r="G192" t="inlineStr">
        <is>
          <t>ÖSTRA GÖINGE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45674</v>
      </c>
      <c r="E193" s="1" t="n">
        <v>46279</v>
      </c>
      <c r="F193" t="inlineStr">
        <is>
          <t>SKÅNE LÄN</t>
        </is>
      </c>
      <c r="G193" t="inlineStr">
        <is>
          <t>ÖSTRA GÖINGE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46279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46279</v>
      </c>
      <c r="F195" t="inlineStr">
        <is>
          <t>SKÅNE LÄN</t>
        </is>
      </c>
      <c r="G195" t="inlineStr">
        <is>
          <t>ÖSTRA GÖINGE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46279</v>
      </c>
      <c r="F196" t="inlineStr">
        <is>
          <t>SKÅNE LÄN</t>
        </is>
      </c>
      <c r="G196" t="inlineStr">
        <is>
          <t>ÖSTRA GÖINGE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46279</v>
      </c>
      <c r="F197" t="inlineStr">
        <is>
          <t>SKÅNE LÄN</t>
        </is>
      </c>
      <c r="G197" t="inlineStr">
        <is>
          <t>ÖSTRA GÖINGE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46279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46279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46279</v>
      </c>
      <c r="F200" t="inlineStr">
        <is>
          <t>SKÅNE LÄN</t>
        </is>
      </c>
      <c r="G200" t="inlineStr">
        <is>
          <t>ÖSTRA GÖINGE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46279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46279</v>
      </c>
      <c r="F202" t="inlineStr">
        <is>
          <t>SKÅNE LÄN</t>
        </is>
      </c>
      <c r="G202" t="inlineStr">
        <is>
          <t>ÖSTRA GÖINGE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44826</v>
      </c>
      <c r="E203" s="1" t="n">
        <v>46279</v>
      </c>
      <c r="F203" t="inlineStr">
        <is>
          <t>SKÅNE LÄN</t>
        </is>
      </c>
      <c r="G203" t="inlineStr">
        <is>
          <t>ÖSTRA GÖINGE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46279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46279</v>
      </c>
      <c r="F205" t="inlineStr">
        <is>
          <t>SKÅNE LÄN</t>
        </is>
      </c>
      <c r="G205" t="inlineStr">
        <is>
          <t>ÖSTRA GÖINGE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46279</v>
      </c>
      <c r="F206" t="inlineStr">
        <is>
          <t>SKÅNE LÄN</t>
        </is>
      </c>
      <c r="G206" t="inlineStr">
        <is>
          <t>ÖSTRA GÖINGE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46279</v>
      </c>
      <c r="F207" t="inlineStr">
        <is>
          <t>SKÅNE LÄN</t>
        </is>
      </c>
      <c r="G207" t="inlineStr">
        <is>
          <t>ÖSTRA GÖINGE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46279</v>
      </c>
      <c r="F208" t="inlineStr">
        <is>
          <t>SKÅNE LÄN</t>
        </is>
      </c>
      <c r="G208" t="inlineStr">
        <is>
          <t>ÖSTRA GÖINGE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46279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45970</v>
      </c>
      <c r="E210" s="1" t="n">
        <v>46279</v>
      </c>
      <c r="F210" t="inlineStr">
        <is>
          <t>SKÅNE LÄN</t>
        </is>
      </c>
      <c r="G210" t="inlineStr">
        <is>
          <t>ÖSTRA GÖINGE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46279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46279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46279</v>
      </c>
      <c r="F213" t="inlineStr">
        <is>
          <t>SKÅNE LÄN</t>
        </is>
      </c>
      <c r="G213" t="inlineStr">
        <is>
          <t>ÖSTRA GÖINGE</t>
        </is>
      </c>
      <c r="H213" t="inlineStr">
        <is>
          <t>Sveaskog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50896-2021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44460</v>
      </c>
      <c r="E214" s="1" t="n">
        <v>46279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44459</v>
      </c>
      <c r="E215" s="1" t="n">
        <v>46279</v>
      </c>
      <c r="F215" t="inlineStr">
        <is>
          <t>SKÅNE LÄN</t>
        </is>
      </c>
      <c r="G215" t="inlineStr">
        <is>
          <t>ÖSTRA GÖINGE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46279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46279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46279</v>
      </c>
      <c r="F218" t="inlineStr">
        <is>
          <t>SKÅNE LÄN</t>
        </is>
      </c>
      <c r="G218" t="inlineStr">
        <is>
          <t>ÖSTRA GÖINGE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46279</v>
      </c>
      <c r="F219" t="inlineStr">
        <is>
          <t>SKÅNE LÄN</t>
        </is>
      </c>
      <c r="G219" t="inlineStr">
        <is>
          <t>ÖSTRA GÖINGE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46279</v>
      </c>
      <c r="F220" t="inlineStr">
        <is>
          <t>SKÅNE LÄN</t>
        </is>
      </c>
      <c r="G220" t="inlineStr">
        <is>
          <t>ÖSTRA GÖINGE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46279</v>
      </c>
      <c r="F221" t="inlineStr">
        <is>
          <t>SKÅNE LÄN</t>
        </is>
      </c>
      <c r="G221" t="inlineStr">
        <is>
          <t>ÖSTRA GÖINGE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46279</v>
      </c>
      <c r="F222" t="inlineStr">
        <is>
          <t>SKÅNE LÄN</t>
        </is>
      </c>
      <c r="G222" t="inlineStr">
        <is>
          <t>ÖSTRA GÖINGE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46279</v>
      </c>
      <c r="F223" t="inlineStr">
        <is>
          <t>SKÅNE LÄN</t>
        </is>
      </c>
      <c r="G223" t="inlineStr">
        <is>
          <t>ÖSTRA GÖINGE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46279</v>
      </c>
      <c r="F224" t="inlineStr">
        <is>
          <t>SKÅNE LÄN</t>
        </is>
      </c>
      <c r="G224" t="inlineStr">
        <is>
          <t>ÖSTRA GÖINGE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46279</v>
      </c>
      <c r="F225" t="inlineStr">
        <is>
          <t>SKÅNE LÄN</t>
        </is>
      </c>
      <c r="G225" t="inlineStr">
        <is>
          <t>ÖSTRA GÖINGE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46279</v>
      </c>
      <c r="F226" t="inlineStr">
        <is>
          <t>SKÅNE LÄN</t>
        </is>
      </c>
      <c r="G226" t="inlineStr">
        <is>
          <t>ÖSTRA GÖINGE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46279</v>
      </c>
      <c r="F227" t="inlineStr">
        <is>
          <t>SKÅNE LÄN</t>
        </is>
      </c>
      <c r="G227" t="inlineStr">
        <is>
          <t>ÖSTRA GÖINGE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46279</v>
      </c>
      <c r="F228" t="inlineStr">
        <is>
          <t>SKÅNE LÄN</t>
        </is>
      </c>
      <c r="G228" t="inlineStr">
        <is>
          <t>ÖSTRA GÖINGE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46279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46279</v>
      </c>
      <c r="F230" t="inlineStr">
        <is>
          <t>SKÅNE LÄN</t>
        </is>
      </c>
      <c r="G230" t="inlineStr">
        <is>
          <t>ÖSTRA GÖINGE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46279</v>
      </c>
      <c r="F231" t="inlineStr">
        <is>
          <t>SKÅNE LÄN</t>
        </is>
      </c>
      <c r="G231" t="inlineStr">
        <is>
          <t>ÖSTRA GÖINGE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46132</v>
      </c>
      <c r="E232" s="1" t="n">
        <v>46279</v>
      </c>
      <c r="F232" t="inlineStr">
        <is>
          <t>SKÅNE LÄN</t>
        </is>
      </c>
      <c r="G232" t="inlineStr">
        <is>
          <t>ÖSTRA GÖINGE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46279</v>
      </c>
      <c r="F233" t="inlineStr">
        <is>
          <t>SKÅNE LÄN</t>
        </is>
      </c>
      <c r="G233" t="inlineStr">
        <is>
          <t>ÖSTRA GÖINGE</t>
        </is>
      </c>
      <c r="I233" t="n">
        <v>12.8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46279</v>
      </c>
      <c r="F234" t="inlineStr">
        <is>
          <t>SKÅNE LÄN</t>
        </is>
      </c>
      <c r="G234" t="inlineStr">
        <is>
          <t>ÖSTRA GÖINGE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46279</v>
      </c>
      <c r="F235" t="inlineStr">
        <is>
          <t>SKÅNE LÄN</t>
        </is>
      </c>
      <c r="G235" t="inlineStr">
        <is>
          <t>ÖSTRA GÖINGE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44929</v>
      </c>
      <c r="E236" s="1" t="n">
        <v>46279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46279</v>
      </c>
      <c r="F237" t="inlineStr">
        <is>
          <t>SKÅNE LÄN</t>
        </is>
      </c>
      <c r="G237" t="inlineStr">
        <is>
          <t>ÖSTRA GÖINGE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46279</v>
      </c>
      <c r="F238" t="inlineStr">
        <is>
          <t>SKÅNE LÄN</t>
        </is>
      </c>
      <c r="G238" t="inlineStr">
        <is>
          <t>ÖSTRA GÖINGE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46279</v>
      </c>
      <c r="F239" t="inlineStr">
        <is>
          <t>SKÅNE LÄN</t>
        </is>
      </c>
      <c r="G239" t="inlineStr">
        <is>
          <t>ÖSTRA GÖINGE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46279</v>
      </c>
      <c r="F240" t="inlineStr">
        <is>
          <t>SKÅNE LÄN</t>
        </is>
      </c>
      <c r="G240" t="inlineStr">
        <is>
          <t>ÖSTRA GÖINGE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46279</v>
      </c>
      <c r="F241" t="inlineStr">
        <is>
          <t>SKÅNE LÄN</t>
        </is>
      </c>
      <c r="G241" t="inlineStr">
        <is>
          <t>ÖSTRA GÖINGE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46279</v>
      </c>
      <c r="F242" t="inlineStr">
        <is>
          <t>SKÅNE LÄN</t>
        </is>
      </c>
      <c r="G242" t="inlineStr">
        <is>
          <t>ÖSTRA GÖINGE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50922-2021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44459</v>
      </c>
      <c r="E243" s="1" t="n">
        <v>46279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46279</v>
      </c>
      <c r="F244" t="inlineStr">
        <is>
          <t>SKÅNE LÄN</t>
        </is>
      </c>
      <c r="G244" t="inlineStr">
        <is>
          <t>ÖSTRA GÖINGE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46279</v>
      </c>
      <c r="F245" t="inlineStr">
        <is>
          <t>SKÅNE LÄN</t>
        </is>
      </c>
      <c r="G245" t="inlineStr">
        <is>
          <t>ÖSTRA GÖINGE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46279</v>
      </c>
      <c r="F246" t="inlineStr">
        <is>
          <t>SKÅNE LÄN</t>
        </is>
      </c>
      <c r="G246" t="inlineStr">
        <is>
          <t>ÖSTRA GÖINGE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46279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46279</v>
      </c>
      <c r="F248" t="inlineStr">
        <is>
          <t>SKÅNE LÄN</t>
        </is>
      </c>
      <c r="G248" t="inlineStr">
        <is>
          <t>ÖSTRA GÖINGE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69384-2021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44531</v>
      </c>
      <c r="E249" s="1" t="n">
        <v>46279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46279</v>
      </c>
      <c r="F250" t="inlineStr">
        <is>
          <t>SKÅNE LÄN</t>
        </is>
      </c>
      <c r="G250" t="inlineStr">
        <is>
          <t>ÖSTRA GÖINGE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46279</v>
      </c>
      <c r="F251" t="inlineStr">
        <is>
          <t>SKÅNE LÄN</t>
        </is>
      </c>
      <c r="G251" t="inlineStr">
        <is>
          <t>ÖSTRA GÖINGE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46279</v>
      </c>
      <c r="F252" t="inlineStr">
        <is>
          <t>SKÅNE LÄN</t>
        </is>
      </c>
      <c r="G252" t="inlineStr">
        <is>
          <t>ÖSTRA GÖINGE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46279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71741-2021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44539</v>
      </c>
      <c r="E254" s="1" t="n">
        <v>46279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46279</v>
      </c>
      <c r="F255" t="inlineStr">
        <is>
          <t>SKÅNE LÄN</t>
        </is>
      </c>
      <c r="G255" t="inlineStr">
        <is>
          <t>ÖSTRA GÖINGE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46279</v>
      </c>
      <c r="F256" t="inlineStr">
        <is>
          <t>SKÅNE LÄN</t>
        </is>
      </c>
      <c r="G256" t="inlineStr">
        <is>
          <t>ÖSTRA GÖINGE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46279</v>
      </c>
      <c r="F257" t="inlineStr">
        <is>
          <t>SKÅNE LÄN</t>
        </is>
      </c>
      <c r="G257" t="inlineStr">
        <is>
          <t>ÖSTRA GÖINGE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46279</v>
      </c>
      <c r="F258" t="inlineStr">
        <is>
          <t>SKÅNE LÄN</t>
        </is>
      </c>
      <c r="G258" t="inlineStr">
        <is>
          <t>ÖSTRA GÖINGE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46279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46279</v>
      </c>
      <c r="F260" t="inlineStr">
        <is>
          <t>SKÅNE LÄN</t>
        </is>
      </c>
      <c r="G260" t="inlineStr">
        <is>
          <t>ÖSTRA GÖINGE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46279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46279</v>
      </c>
      <c r="F262" t="inlineStr">
        <is>
          <t>SKÅNE LÄN</t>
        </is>
      </c>
      <c r="G262" t="inlineStr">
        <is>
          <t>ÖSTRA GÖINGE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46279</v>
      </c>
      <c r="F263" t="inlineStr">
        <is>
          <t>SKÅNE LÄN</t>
        </is>
      </c>
      <c r="G263" t="inlineStr">
        <is>
          <t>ÖSTRA GÖINGE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46279</v>
      </c>
      <c r="F264" t="inlineStr">
        <is>
          <t>SKÅNE LÄN</t>
        </is>
      </c>
      <c r="G264" t="inlineStr">
        <is>
          <t>ÖSTRA GÖINGE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46279</v>
      </c>
      <c r="F265" t="inlineStr">
        <is>
          <t>SKÅNE LÄN</t>
        </is>
      </c>
      <c r="G265" t="inlineStr">
        <is>
          <t>ÖSTRA GÖINGE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46030</v>
      </c>
      <c r="E266" s="1" t="n">
        <v>46279</v>
      </c>
      <c r="F266" t="inlineStr">
        <is>
          <t>SKÅNE LÄN</t>
        </is>
      </c>
      <c r="G266" t="inlineStr">
        <is>
          <t>ÖSTRA GÖINGE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46279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46279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46279</v>
      </c>
      <c r="F269" t="inlineStr">
        <is>
          <t>SKÅNE LÄN</t>
        </is>
      </c>
      <c r="G269" t="inlineStr">
        <is>
          <t>ÖSTRA GÖINGE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46279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55716-2024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45622</v>
      </c>
      <c r="E271" s="1" t="n">
        <v>46279</v>
      </c>
      <c r="F271" t="inlineStr">
        <is>
          <t>SKÅNE LÄN</t>
        </is>
      </c>
      <c r="G271" t="inlineStr">
        <is>
          <t>ÖSTRA GÖINGE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46279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46279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46279</v>
      </c>
      <c r="F274" t="inlineStr">
        <is>
          <t>SKÅNE LÄN</t>
        </is>
      </c>
      <c r="G274" t="inlineStr">
        <is>
          <t>ÖSTRA GÖINGE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46279</v>
      </c>
      <c r="F275" t="inlineStr">
        <is>
          <t>SKÅNE LÄN</t>
        </is>
      </c>
      <c r="G275" t="inlineStr">
        <is>
          <t>ÖSTRA GÖINGE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46279</v>
      </c>
      <c r="F276" t="inlineStr">
        <is>
          <t>SKÅNE LÄN</t>
        </is>
      </c>
      <c r="G276" t="inlineStr">
        <is>
          <t>ÖSTRA GÖINGE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46279</v>
      </c>
      <c r="F277" t="inlineStr">
        <is>
          <t>SKÅNE LÄN</t>
        </is>
      </c>
      <c r="G277" t="inlineStr">
        <is>
          <t>ÖSTRA GÖINGE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46279</v>
      </c>
      <c r="F278" t="inlineStr">
        <is>
          <t>SKÅNE LÄN</t>
        </is>
      </c>
      <c r="G278" t="inlineStr">
        <is>
          <t>ÖSTRA GÖINGE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46279</v>
      </c>
      <c r="F279" t="inlineStr">
        <is>
          <t>SKÅNE LÄN</t>
        </is>
      </c>
      <c r="G279" t="inlineStr">
        <is>
          <t>ÖSTRA GÖINGE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46279</v>
      </c>
      <c r="F280" t="inlineStr">
        <is>
          <t>SKÅNE LÄN</t>
        </is>
      </c>
      <c r="G280" t="inlineStr">
        <is>
          <t>ÖSTRA GÖINGE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46279</v>
      </c>
      <c r="F281" t="inlineStr">
        <is>
          <t>SKÅNE LÄN</t>
        </is>
      </c>
      <c r="G281" t="inlineStr">
        <is>
          <t>ÖSTRA GÖINGE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46279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45538</v>
      </c>
      <c r="E283" s="1" t="n">
        <v>46279</v>
      </c>
      <c r="F283" t="inlineStr">
        <is>
          <t>SKÅNE LÄN</t>
        </is>
      </c>
      <c r="G283" t="inlineStr">
        <is>
          <t>ÖSTRA GÖINGE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46279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46279</v>
      </c>
      <c r="F285" t="inlineStr">
        <is>
          <t>SKÅNE LÄN</t>
        </is>
      </c>
      <c r="G285" t="inlineStr">
        <is>
          <t>ÖSTRA GÖINGE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46279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46279</v>
      </c>
      <c r="F287" t="inlineStr">
        <is>
          <t>SKÅNE LÄN</t>
        </is>
      </c>
      <c r="G287" t="inlineStr">
        <is>
          <t>ÖSTRA GÖINGE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7057-2026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46057</v>
      </c>
      <c r="E288" s="1" t="n">
        <v>46279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45105</v>
      </c>
      <c r="E289" s="1" t="n">
        <v>46279</v>
      </c>
      <c r="F289" t="inlineStr">
        <is>
          <t>SKÅNE LÄN</t>
        </is>
      </c>
      <c r="G289" t="inlineStr">
        <is>
          <t>ÖSTRA GÖINGE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46279</v>
      </c>
      <c r="F290" t="inlineStr">
        <is>
          <t>SKÅNE LÄN</t>
        </is>
      </c>
      <c r="G290" t="inlineStr">
        <is>
          <t>ÖSTRA GÖINGE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46279</v>
      </c>
      <c r="F291" t="inlineStr">
        <is>
          <t>SKÅNE LÄN</t>
        </is>
      </c>
      <c r="G291" t="inlineStr">
        <is>
          <t>ÖSTRA GÖINGE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46279</v>
      </c>
      <c r="F292" t="inlineStr">
        <is>
          <t>SKÅNE LÄN</t>
        </is>
      </c>
      <c r="G292" t="inlineStr">
        <is>
          <t>ÖSTRA GÖINGE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46279</v>
      </c>
      <c r="F293" t="inlineStr">
        <is>
          <t>SKÅNE LÄN</t>
        </is>
      </c>
      <c r="G293" t="inlineStr">
        <is>
          <t>ÖSTRA GÖINGE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46279</v>
      </c>
      <c r="F294" t="inlineStr">
        <is>
          <t>SKÅNE LÄN</t>
        </is>
      </c>
      <c r="G294" t="inlineStr">
        <is>
          <t>ÖSTRA GÖINGE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45117</v>
      </c>
      <c r="E295" s="1" t="n">
        <v>46279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46279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46142</v>
      </c>
      <c r="E297" s="1" t="n">
        <v>46279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45138</v>
      </c>
      <c r="E298" s="1" t="n">
        <v>46279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46147</v>
      </c>
      <c r="E299" s="1" t="n">
        <v>46279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46279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46279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58938-2024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46279</v>
      </c>
      <c r="F302" t="inlineStr">
        <is>
          <t>SKÅNE LÄN</t>
        </is>
      </c>
      <c r="G302" t="inlineStr">
        <is>
          <t>ÖSTRA GÖINGE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46279</v>
      </c>
      <c r="F303" t="inlineStr">
        <is>
          <t>SKÅNE LÄN</t>
        </is>
      </c>
      <c r="G303" t="inlineStr">
        <is>
          <t>ÖSTRA GÖINGE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46279</v>
      </c>
      <c r="F304" t="inlineStr">
        <is>
          <t>SKÅNE LÄN</t>
        </is>
      </c>
      <c r="G304" t="inlineStr">
        <is>
          <t>ÖSTRA GÖINGE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46279</v>
      </c>
      <c r="F305" t="inlineStr">
        <is>
          <t>SKÅNE LÄN</t>
        </is>
      </c>
      <c r="G305" t="inlineStr">
        <is>
          <t>ÖSTRA GÖINGE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46279</v>
      </c>
      <c r="F306" t="inlineStr">
        <is>
          <t>SKÅNE LÄN</t>
        </is>
      </c>
      <c r="G306" t="inlineStr">
        <is>
          <t>ÖSTRA GÖINGE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46279-2024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45581</v>
      </c>
      <c r="E307" s="1" t="n">
        <v>46279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46279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46279</v>
      </c>
      <c r="F309" t="inlineStr">
        <is>
          <t>SKÅNE LÄN</t>
        </is>
      </c>
      <c r="G309" t="inlineStr">
        <is>
          <t>ÖSTRA GÖINGE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45321</v>
      </c>
      <c r="E310" s="1" t="n">
        <v>46279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46279</v>
      </c>
      <c r="F311" t="inlineStr">
        <is>
          <t>SKÅNE LÄN</t>
        </is>
      </c>
      <c r="G311" t="inlineStr">
        <is>
          <t>ÖSTRA GÖINGE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46279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46279</v>
      </c>
      <c r="F313" t="inlineStr">
        <is>
          <t>SKÅNE LÄN</t>
        </is>
      </c>
      <c r="G313" t="inlineStr">
        <is>
          <t>ÖSTRA GÖINGE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46279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46279</v>
      </c>
      <c r="F315" t="inlineStr">
        <is>
          <t>SKÅNE LÄN</t>
        </is>
      </c>
      <c r="G315" t="inlineStr">
        <is>
          <t>ÖSTRA GÖINGE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46279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46279</v>
      </c>
      <c r="F317" t="inlineStr">
        <is>
          <t>SKÅNE LÄN</t>
        </is>
      </c>
      <c r="G317" t="inlineStr">
        <is>
          <t>ÖSTRA GÖINGE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45733</v>
      </c>
      <c r="E318" s="1" t="n">
        <v>46279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45172</v>
      </c>
      <c r="E319" s="1" t="n">
        <v>46279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45686</v>
      </c>
      <c r="E320" s="1" t="n">
        <v>46279</v>
      </c>
      <c r="F320" t="inlineStr">
        <is>
          <t>SKÅNE LÄN</t>
        </is>
      </c>
      <c r="G320" t="inlineStr">
        <is>
          <t>ÖSTRA GÖINGE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23596-2026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46279</v>
      </c>
      <c r="F321" t="inlineStr">
        <is>
          <t>SKÅNE LÄN</t>
        </is>
      </c>
      <c r="G321" t="inlineStr">
        <is>
          <t>ÖSTRA GÖINGE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46279</v>
      </c>
      <c r="F322" t="inlineStr">
        <is>
          <t>SKÅNE LÄN</t>
        </is>
      </c>
      <c r="G322" t="inlineStr">
        <is>
          <t>ÖSTRA GÖINGE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45117</v>
      </c>
      <c r="E323" s="1" t="n">
        <v>46279</v>
      </c>
      <c r="F323" t="inlineStr">
        <is>
          <t>SKÅNE LÄN</t>
        </is>
      </c>
      <c r="G323" t="inlineStr">
        <is>
          <t>ÖSTRA GÖINGE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42192-2023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45179</v>
      </c>
      <c r="E324" s="1" t="n">
        <v>46279</v>
      </c>
      <c r="F324" t="inlineStr">
        <is>
          <t>SKÅNE LÄN</t>
        </is>
      </c>
      <c r="G324" t="inlineStr">
        <is>
          <t>ÖSTRA GÖINGE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45147</v>
      </c>
      <c r="E325" s="1" t="n">
        <v>46279</v>
      </c>
      <c r="F325" t="inlineStr">
        <is>
          <t>SKÅNE LÄN</t>
        </is>
      </c>
      <c r="G325" t="inlineStr">
        <is>
          <t>ÖSTRA GÖINGE</t>
        </is>
      </c>
      <c r="I325" t="n">
        <v>15.4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46279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46279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46167</v>
      </c>
      <c r="E328" s="1" t="n">
        <v>46279</v>
      </c>
      <c r="F328" t="inlineStr">
        <is>
          <t>SKÅNE LÄN</t>
        </is>
      </c>
      <c r="G328" t="inlineStr">
        <is>
          <t>ÖSTRA GÖINGE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46279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46279</v>
      </c>
      <c r="F330" t="inlineStr">
        <is>
          <t>SKÅNE LÄN</t>
        </is>
      </c>
      <c r="G330" t="inlineStr">
        <is>
          <t>ÖSTRA GÖINGE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45774</v>
      </c>
      <c r="E331" s="1" t="n">
        <v>46279</v>
      </c>
      <c r="F331" t="inlineStr">
        <is>
          <t>SKÅNE LÄN</t>
        </is>
      </c>
      <c r="G331" t="inlineStr">
        <is>
          <t>ÖSTRA GÖINGE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44585</v>
      </c>
      <c r="E332" s="1" t="n">
        <v>46279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44686</v>
      </c>
      <c r="E333" s="1" t="n">
        <v>46279</v>
      </c>
      <c r="F333" t="inlineStr">
        <is>
          <t>SKÅNE LÄN</t>
        </is>
      </c>
      <c r="G333" t="inlineStr">
        <is>
          <t>ÖSTRA GÖINGE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46279</v>
      </c>
      <c r="F334" t="inlineStr">
        <is>
          <t>SKÅNE LÄN</t>
        </is>
      </c>
      <c r="G334" t="inlineStr">
        <is>
          <t>ÖSTRA GÖINGE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44853</v>
      </c>
      <c r="E335" s="1" t="n">
        <v>46279</v>
      </c>
      <c r="F335" t="inlineStr">
        <is>
          <t>SKÅNE LÄN</t>
        </is>
      </c>
      <c r="G335" t="inlineStr">
        <is>
          <t>ÖSTRA GÖINGE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46279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45121</v>
      </c>
      <c r="E337" s="1" t="n">
        <v>46279</v>
      </c>
      <c r="F337" t="inlineStr">
        <is>
          <t>SKÅNE LÄN</t>
        </is>
      </c>
      <c r="G337" t="inlineStr">
        <is>
          <t>ÖSTRA GÖINGE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44840</v>
      </c>
      <c r="E338" s="1" t="n">
        <v>46279</v>
      </c>
      <c r="F338" t="inlineStr">
        <is>
          <t>SKÅNE LÄN</t>
        </is>
      </c>
      <c r="G338" t="inlineStr">
        <is>
          <t>ÖSTRA GÖINGE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46279</v>
      </c>
      <c r="F339" t="inlineStr">
        <is>
          <t>SKÅNE LÄN</t>
        </is>
      </c>
      <c r="G339" t="inlineStr">
        <is>
          <t>ÖSTRA GÖINGE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46279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46279</v>
      </c>
      <c r="F341" t="inlineStr">
        <is>
          <t>SKÅNE LÄN</t>
        </is>
      </c>
      <c r="G341" t="inlineStr">
        <is>
          <t>ÖSTRA GÖINGE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46279</v>
      </c>
      <c r="F342" t="inlineStr">
        <is>
          <t>SKÅNE LÄN</t>
        </is>
      </c>
      <c r="G342" t="inlineStr">
        <is>
          <t>ÖSTRA GÖINGE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46279</v>
      </c>
      <c r="F343" t="inlineStr">
        <is>
          <t>SKÅNE LÄN</t>
        </is>
      </c>
      <c r="G343" t="inlineStr">
        <is>
          <t>ÖSTRA GÖINGE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46279</v>
      </c>
      <c r="F344" t="inlineStr">
        <is>
          <t>SKÅNE LÄN</t>
        </is>
      </c>
      <c r="G344" t="inlineStr">
        <is>
          <t>ÖSTRA GÖINGE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46279</v>
      </c>
      <c r="F345" t="inlineStr">
        <is>
          <t>SKÅNE LÄN</t>
        </is>
      </c>
      <c r="G345" t="inlineStr">
        <is>
          <t>ÖSTRA GÖINGE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44915</v>
      </c>
      <c r="E346" s="1" t="n">
        <v>46279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46279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46279</v>
      </c>
      <c r="F348" t="inlineStr">
        <is>
          <t>SKÅNE LÄN</t>
        </is>
      </c>
      <c r="G348" t="inlineStr">
        <is>
          <t>ÖSTRA GÖINGE</t>
        </is>
      </c>
      <c r="I348" t="n">
        <v>34.5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46279</v>
      </c>
      <c r="F349" t="inlineStr">
        <is>
          <t>SKÅNE LÄN</t>
        </is>
      </c>
      <c r="G349" t="inlineStr">
        <is>
          <t>ÖSTRA GÖINGE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46279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45349</v>
      </c>
      <c r="E351" s="1" t="n">
        <v>46279</v>
      </c>
      <c r="F351" t="inlineStr">
        <is>
          <t>SKÅNE LÄN</t>
        </is>
      </c>
      <c r="G351" t="inlineStr">
        <is>
          <t>ÖSTRA GÖINGE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57293-2023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46279</v>
      </c>
      <c r="F352" t="inlineStr">
        <is>
          <t>SKÅNE LÄN</t>
        </is>
      </c>
      <c r="G352" t="inlineStr">
        <is>
          <t>ÖSTRA GÖINGE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46279</v>
      </c>
      <c r="F353" t="inlineStr">
        <is>
          <t>SKÅNE LÄN</t>
        </is>
      </c>
      <c r="G353" t="inlineStr">
        <is>
          <t>ÖSTRA GÖINGE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44723</v>
      </c>
      <c r="E354" s="1" t="n">
        <v>46279</v>
      </c>
      <c r="F354" t="inlineStr">
        <is>
          <t>SKÅNE LÄN</t>
        </is>
      </c>
      <c r="G354" t="inlineStr">
        <is>
          <t>ÖSTRA GÖINGE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46279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45310</v>
      </c>
      <c r="E356" s="1" t="n">
        <v>46279</v>
      </c>
      <c r="F356" t="inlineStr">
        <is>
          <t>SKÅNE LÄN</t>
        </is>
      </c>
      <c r="G356" t="inlineStr">
        <is>
          <t>ÖSTRA GÖINGE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46279</v>
      </c>
      <c r="F357" t="inlineStr">
        <is>
          <t>SKÅNE LÄN</t>
        </is>
      </c>
      <c r="G357" t="inlineStr">
        <is>
          <t>ÖSTRA GÖINGE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46279</v>
      </c>
      <c r="F358" t="inlineStr">
        <is>
          <t>SKÅNE LÄN</t>
        </is>
      </c>
      <c r="G358" t="inlineStr">
        <is>
          <t>ÖSTRA GÖINGE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71747-2021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44539</v>
      </c>
      <c r="E359" s="1" t="n">
        <v>46279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46279</v>
      </c>
      <c r="F360" t="inlineStr">
        <is>
          <t>SKÅNE LÄN</t>
        </is>
      </c>
      <c r="G360" t="inlineStr">
        <is>
          <t>ÖSTRA GÖINGE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46279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46279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44796</v>
      </c>
      <c r="E363" s="1" t="n">
        <v>46279</v>
      </c>
      <c r="F363" t="inlineStr">
        <is>
          <t>SKÅNE LÄN</t>
        </is>
      </c>
      <c r="G363" t="inlineStr">
        <is>
          <t>ÖSTRA GÖINGE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64181-2023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45279</v>
      </c>
      <c r="E364" s="1" t="n">
        <v>46279</v>
      </c>
      <c r="F364" t="inlineStr">
        <is>
          <t>SKÅNE LÄN</t>
        </is>
      </c>
      <c r="G364" t="inlineStr">
        <is>
          <t>ÖSTRA GÖINGE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66526-2021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44519</v>
      </c>
      <c r="E365" s="1" t="n">
        <v>46279</v>
      </c>
      <c r="F365" t="inlineStr">
        <is>
          <t>SKÅNE LÄN</t>
        </is>
      </c>
      <c r="G365" t="inlineStr">
        <is>
          <t>ÖSTRA GÖINGE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44606</v>
      </c>
      <c r="E366" s="1" t="n">
        <v>46279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44897</v>
      </c>
      <c r="E367" s="1" t="n">
        <v>46279</v>
      </c>
      <c r="F367" t="inlineStr">
        <is>
          <t>SKÅNE LÄN</t>
        </is>
      </c>
      <c r="G367" t="inlineStr">
        <is>
          <t>ÖSTRA GÖINGE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44852</v>
      </c>
      <c r="E368" s="1" t="n">
        <v>46279</v>
      </c>
      <c r="F368" t="inlineStr">
        <is>
          <t>SKÅNE LÄN</t>
        </is>
      </c>
      <c r="G368" t="inlineStr">
        <is>
          <t>ÖSTRA GÖINGE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46279</v>
      </c>
      <c r="F369" t="inlineStr">
        <is>
          <t>SKÅNE LÄN</t>
        </is>
      </c>
      <c r="G369" t="inlineStr">
        <is>
          <t>ÖSTRA GÖINGE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46279</v>
      </c>
      <c r="F370" t="inlineStr">
        <is>
          <t>SKÅNE LÄN</t>
        </is>
      </c>
      <c r="G370" t="inlineStr">
        <is>
          <t>ÖSTRA GÖINGE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46279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44627</v>
      </c>
      <c r="E372" s="1" t="n">
        <v>46279</v>
      </c>
      <c r="F372" t="inlineStr">
        <is>
          <t>SKÅNE LÄN</t>
        </is>
      </c>
      <c r="G372" t="inlineStr">
        <is>
          <t>ÖSTRA GÖINGE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46279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46279</v>
      </c>
      <c r="F374" t="inlineStr">
        <is>
          <t>SKÅNE LÄN</t>
        </is>
      </c>
      <c r="G374" t="inlineStr">
        <is>
          <t>ÖSTRA GÖINGE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46279</v>
      </c>
      <c r="F375" t="inlineStr">
        <is>
          <t>SKÅNE LÄN</t>
        </is>
      </c>
      <c r="G375" t="inlineStr">
        <is>
          <t>ÖSTRA GÖINGE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46279</v>
      </c>
      <c r="F376" t="inlineStr">
        <is>
          <t>SKÅNE LÄN</t>
        </is>
      </c>
      <c r="G376" t="inlineStr">
        <is>
          <t>ÖSTRA GÖINGE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46279</v>
      </c>
      <c r="F377" t="inlineStr">
        <is>
          <t>SKÅNE LÄN</t>
        </is>
      </c>
      <c r="G377" t="inlineStr">
        <is>
          <t>ÖSTRA GÖINGE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46279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46279</v>
      </c>
      <c r="F379" t="inlineStr">
        <is>
          <t>SKÅNE LÄN</t>
        </is>
      </c>
      <c r="G379" t="inlineStr">
        <is>
          <t>ÖSTRA GÖINGE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46279</v>
      </c>
      <c r="F380" t="inlineStr">
        <is>
          <t>SKÅNE LÄN</t>
        </is>
      </c>
      <c r="G380" t="inlineStr">
        <is>
          <t>ÖSTRA GÖINGE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46279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46279</v>
      </c>
      <c r="F382" t="inlineStr">
        <is>
          <t>SKÅNE LÄN</t>
        </is>
      </c>
      <c r="G382" t="inlineStr">
        <is>
          <t>ÖSTRA GÖINGE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46279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46279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46279</v>
      </c>
      <c r="F385" t="inlineStr">
        <is>
          <t>SKÅNE LÄN</t>
        </is>
      </c>
      <c r="G385" t="inlineStr">
        <is>
          <t>ÖSTRA GÖINGE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46279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46279</v>
      </c>
      <c r="F387" t="inlineStr">
        <is>
          <t>SKÅNE LÄN</t>
        </is>
      </c>
      <c r="G387" t="inlineStr">
        <is>
          <t>ÖSTRA GÖINGE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44873</v>
      </c>
      <c r="E388" s="1" t="n">
        <v>46279</v>
      </c>
      <c r="F388" t="inlineStr">
        <is>
          <t>SKÅNE LÄN</t>
        </is>
      </c>
      <c r="G388" t="inlineStr">
        <is>
          <t>ÖSTRA GÖINGE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46279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30111-2026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46206</v>
      </c>
      <c r="E390" s="1" t="n">
        <v>46279</v>
      </c>
      <c r="F390" t="inlineStr">
        <is>
          <t>SKÅNE LÄN</t>
        </is>
      </c>
      <c r="G390" t="inlineStr">
        <is>
          <t>ÖSTRA GÖINGE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46279</v>
      </c>
      <c r="F391" t="inlineStr">
        <is>
          <t>SKÅNE LÄN</t>
        </is>
      </c>
      <c r="G391" t="inlineStr">
        <is>
          <t>ÖSTRA GÖINGE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46279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45758</v>
      </c>
      <c r="E393" s="1" t="n">
        <v>46279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23454-2023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46279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46279</v>
      </c>
      <c r="F395" t="inlineStr">
        <is>
          <t>SKÅNE LÄN</t>
        </is>
      </c>
      <c r="G395" t="inlineStr">
        <is>
          <t>ÖSTRA GÖINGE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46279</v>
      </c>
      <c r="F396" t="inlineStr">
        <is>
          <t>SKÅNE LÄN</t>
        </is>
      </c>
      <c r="G396" t="inlineStr">
        <is>
          <t>ÖSTRA GÖINGE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46279</v>
      </c>
      <c r="F397" t="inlineStr">
        <is>
          <t>SKÅNE LÄN</t>
        </is>
      </c>
      <c r="G397" t="inlineStr">
        <is>
          <t>ÖSTRA GÖINGE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45146</v>
      </c>
      <c r="E398" s="1" t="n">
        <v>46279</v>
      </c>
      <c r="F398" t="inlineStr">
        <is>
          <t>SKÅNE LÄN</t>
        </is>
      </c>
      <c r="G398" t="inlineStr">
        <is>
          <t>ÖSTRA GÖINGE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46279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44466</v>
      </c>
      <c r="E400" s="1" t="n">
        <v>46279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46279</v>
      </c>
      <c r="F401" t="inlineStr">
        <is>
          <t>SKÅNE LÄN</t>
        </is>
      </c>
      <c r="G401" t="inlineStr">
        <is>
          <t>ÖSTRA GÖINGE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46279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46279</v>
      </c>
      <c r="F403" t="inlineStr">
        <is>
          <t>SKÅNE LÄN</t>
        </is>
      </c>
      <c r="G403" t="inlineStr">
        <is>
          <t>ÖSTRA GÖINGE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46279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43447-2024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46279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46279</v>
      </c>
      <c r="F406" t="inlineStr">
        <is>
          <t>SKÅNE LÄN</t>
        </is>
      </c>
      <c r="G406" t="inlineStr">
        <is>
          <t>ÖSTRA GÖINGE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46279</v>
      </c>
      <c r="F407" t="inlineStr">
        <is>
          <t>SKÅNE LÄN</t>
        </is>
      </c>
      <c r="G407" t="inlineStr">
        <is>
          <t>ÖSTRA GÖINGE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46279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46279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46279</v>
      </c>
      <c r="F410" t="inlineStr">
        <is>
          <t>SKÅNE LÄN</t>
        </is>
      </c>
      <c r="G410" t="inlineStr">
        <is>
          <t>ÖSTRA GÖINGE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34840-2026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46258</v>
      </c>
      <c r="E411" s="1" t="n">
        <v>46279</v>
      </c>
      <c r="F411" t="inlineStr">
        <is>
          <t>SKÅNE LÄN</t>
        </is>
      </c>
      <c r="G411" t="inlineStr">
        <is>
          <t>ÖSTRA GÖINGE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46279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46279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46279</v>
      </c>
      <c r="F414" t="inlineStr">
        <is>
          <t>SKÅNE LÄN</t>
        </is>
      </c>
      <c r="G414" t="inlineStr">
        <is>
          <t>ÖSTRA GÖINGE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46279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46279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46279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46279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45331</v>
      </c>
      <c r="E419" s="1" t="n">
        <v>46279</v>
      </c>
      <c r="F419" t="inlineStr">
        <is>
          <t>SKÅNE LÄN</t>
        </is>
      </c>
      <c r="G419" t="inlineStr">
        <is>
          <t>ÖSTRA GÖINGE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27322-2022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44742</v>
      </c>
      <c r="E420" s="1" t="n">
        <v>46279</v>
      </c>
      <c r="F420" t="inlineStr">
        <is>
          <t>SKÅNE LÄN</t>
        </is>
      </c>
      <c r="G420" t="inlineStr">
        <is>
          <t>ÖSTRA GÖINGE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46279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46269</v>
      </c>
      <c r="E422" s="1" t="n">
        <v>46279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46279</v>
      </c>
      <c r="F423" t="inlineStr">
        <is>
          <t>SKÅNE LÄN</t>
        </is>
      </c>
      <c r="G423" t="inlineStr">
        <is>
          <t>ÖSTRA GÖINGE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46279</v>
      </c>
      <c r="F424" t="inlineStr">
        <is>
          <t>SKÅNE LÄN</t>
        </is>
      </c>
      <c r="G424" t="inlineStr">
        <is>
          <t>ÖSTRA GÖINGE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46279</v>
      </c>
      <c r="F425" t="inlineStr">
        <is>
          <t>SKÅNE LÄN</t>
        </is>
      </c>
      <c r="G425" t="inlineStr">
        <is>
          <t>ÖSTRA GÖINGE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46279</v>
      </c>
      <c r="F426" t="inlineStr">
        <is>
          <t>SKÅNE LÄN</t>
        </is>
      </c>
      <c r="G426" t="inlineStr">
        <is>
          <t>ÖSTRA GÖINGE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46279</v>
      </c>
      <c r="F427" t="inlineStr">
        <is>
          <t>SKÅNE LÄN</t>
        </is>
      </c>
      <c r="G427" t="inlineStr">
        <is>
          <t>ÖSTRA GÖINGE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46279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46279</v>
      </c>
      <c r="F429" t="inlineStr">
        <is>
          <t>SKÅNE LÄN</t>
        </is>
      </c>
      <c r="G429" t="inlineStr">
        <is>
          <t>ÖSTRA GÖINGE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46274</v>
      </c>
      <c r="E430" s="1" t="n">
        <v>46279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46279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46279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46279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46279</v>
      </c>
      <c r="F434" t="inlineStr">
        <is>
          <t>SKÅNE LÄN</t>
        </is>
      </c>
      <c r="G434" t="inlineStr">
        <is>
          <t>ÖSTRA GÖINGE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46279</v>
      </c>
      <c r="F435" t="inlineStr">
        <is>
          <t>SKÅNE LÄN</t>
        </is>
      </c>
      <c r="G435" t="inlineStr">
        <is>
          <t>ÖSTRA GÖINGE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46279</v>
      </c>
      <c r="F436" t="inlineStr">
        <is>
          <t>SKÅNE LÄN</t>
        </is>
      </c>
      <c r="G436" t="inlineStr">
        <is>
          <t>ÖSTRA GÖINGE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45562</v>
      </c>
      <c r="E437" s="1" t="n">
        <v>46279</v>
      </c>
      <c r="F437" t="inlineStr">
        <is>
          <t>SKÅNE LÄN</t>
        </is>
      </c>
      <c r="G437" t="inlineStr">
        <is>
          <t>ÖSTRA GÖINGE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45176</v>
      </c>
      <c r="E438" s="1" t="n">
        <v>46279</v>
      </c>
      <c r="F438" t="inlineStr">
        <is>
          <t>SKÅNE LÄN</t>
        </is>
      </c>
      <c r="G438" t="inlineStr">
        <is>
          <t>ÖSTRA GÖINGE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46279</v>
      </c>
      <c r="F439" t="inlineStr">
        <is>
          <t>SKÅNE LÄN</t>
        </is>
      </c>
      <c r="G439" t="inlineStr">
        <is>
          <t>ÖSTRA GÖINGE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46279</v>
      </c>
      <c r="F440" t="inlineStr">
        <is>
          <t>SKÅNE LÄN</t>
        </is>
      </c>
      <c r="G440" t="inlineStr">
        <is>
          <t>ÖSTRA GÖINGE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46279</v>
      </c>
      <c r="F441" t="inlineStr">
        <is>
          <t>SKÅNE LÄN</t>
        </is>
      </c>
      <c r="G441" t="inlineStr">
        <is>
          <t>ÖSTRA GÖINGE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45489</v>
      </c>
      <c r="E442" s="1" t="n">
        <v>46279</v>
      </c>
      <c r="F442" t="inlineStr">
        <is>
          <t>SKÅNE LÄN</t>
        </is>
      </c>
      <c r="G442" t="inlineStr">
        <is>
          <t>ÖSTRA GÖINGE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45638</v>
      </c>
      <c r="E443" s="1" t="n">
        <v>46279</v>
      </c>
      <c r="F443" t="inlineStr">
        <is>
          <t>SKÅNE LÄN</t>
        </is>
      </c>
      <c r="G443" t="inlineStr">
        <is>
          <t>ÖSTRA GÖINGE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46279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45022</v>
      </c>
      <c r="E445" s="1" t="n">
        <v>46279</v>
      </c>
      <c r="F445" t="inlineStr">
        <is>
          <t>SKÅNE LÄN</t>
        </is>
      </c>
      <c r="G445" t="inlineStr">
        <is>
          <t>ÖSTRA GÖINGE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46279</v>
      </c>
      <c r="F446" t="inlineStr">
        <is>
          <t>SKÅNE LÄN</t>
        </is>
      </c>
      <c r="G446" t="inlineStr">
        <is>
          <t>ÖSTRA GÖINGE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45699</v>
      </c>
      <c r="E447" s="1" t="n">
        <v>46279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45686</v>
      </c>
      <c r="E448" s="1" t="n">
        <v>46279</v>
      </c>
      <c r="F448" t="inlineStr">
        <is>
          <t>SKÅNE LÄN</t>
        </is>
      </c>
      <c r="G448" t="inlineStr">
        <is>
          <t>ÖSTRA GÖINGE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46279</v>
      </c>
      <c r="F449" t="inlineStr">
        <is>
          <t>SKÅNE LÄN</t>
        </is>
      </c>
      <c r="G449" t="inlineStr">
        <is>
          <t>ÖSTRA GÖINGE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46279</v>
      </c>
      <c r="F450" t="inlineStr">
        <is>
          <t>SKÅNE LÄN</t>
        </is>
      </c>
      <c r="G450" t="inlineStr">
        <is>
          <t>ÖSTRA GÖINGE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45797</v>
      </c>
      <c r="E451" s="1" t="n">
        <v>46279</v>
      </c>
      <c r="F451" t="inlineStr">
        <is>
          <t>SKÅNE LÄN</t>
        </is>
      </c>
      <c r="G451" t="inlineStr">
        <is>
          <t>ÖSTRA GÖINGE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46279</v>
      </c>
      <c r="F452" t="inlineStr">
        <is>
          <t>SKÅNE LÄN</t>
        </is>
      </c>
      <c r="G452" t="inlineStr">
        <is>
          <t>ÖSTRA GÖINGE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46279</v>
      </c>
      <c r="F453" t="inlineStr">
        <is>
          <t>SKÅNE LÄN</t>
        </is>
      </c>
      <c r="G453" t="inlineStr">
        <is>
          <t>ÖSTRA GÖINGE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46279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1043-2022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44613</v>
      </c>
      <c r="E455" s="1" t="n">
        <v>46279</v>
      </c>
      <c r="F455" t="inlineStr">
        <is>
          <t>SKÅNE LÄN</t>
        </is>
      </c>
      <c r="G455" t="inlineStr">
        <is>
          <t>ÖSTRA GÖINGE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46279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46279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2143-2022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44676</v>
      </c>
      <c r="E458" s="1" t="n">
        <v>46279</v>
      </c>
      <c r="F458" t="inlineStr">
        <is>
          <t>SKÅNE LÄN</t>
        </is>
      </c>
      <c r="G458" t="inlineStr">
        <is>
          <t>ÖSTRA GÖINGE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444-2022</t>
        </is>
      </c>
      <c r="B459" t="inlineStr">
        <is>
          <t>samrådsanmälan</t>
        </is>
      </c>
      <c r="C459" t="inlineStr">
        <is>
          <t>Åtgärd i nyckelbiotop</t>
        </is>
      </c>
      <c r="D459" s="1" t="n">
        <v>44586</v>
      </c>
      <c r="E459" s="1" t="n">
        <v>46279</v>
      </c>
      <c r="F459" t="inlineStr">
        <is>
          <t>SKÅNE LÄN</t>
        </is>
      </c>
      <c r="G459" t="inlineStr">
        <is>
          <t>ÖSTRA GÖINGE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450-2022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46279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45301</v>
      </c>
      <c r="E461" s="1" t="n">
        <v>46279</v>
      </c>
      <c r="F461" t="inlineStr">
        <is>
          <t>SKÅNE LÄN</t>
        </is>
      </c>
      <c r="G461" t="inlineStr">
        <is>
          <t>ÖSTRA GÖINGE</t>
        </is>
      </c>
      <c r="I461" t="n">
        <v>53.6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2502-2023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45124</v>
      </c>
      <c r="E462" s="1" t="n">
        <v>46279</v>
      </c>
      <c r="F462" t="inlineStr">
        <is>
          <t>SKÅNE LÄN</t>
        </is>
      </c>
      <c r="G462" t="inlineStr">
        <is>
          <t>ÖSTRA GÖINGE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376-2024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46279</v>
      </c>
      <c r="F463" t="inlineStr">
        <is>
          <t>SKÅNE LÄN</t>
        </is>
      </c>
      <c r="G463" t="inlineStr">
        <is>
          <t>ÖSTRA GÖINGE</t>
        </is>
      </c>
      <c r="I463" t="n">
        <v>43.3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371-2024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46279</v>
      </c>
      <c r="F464" t="inlineStr">
        <is>
          <t>SKÅNE LÄN</t>
        </is>
      </c>
      <c r="G464" t="inlineStr">
        <is>
          <t>ÖSTRA GÖINGE</t>
        </is>
      </c>
      <c r="I464" t="n">
        <v>19.2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642-2023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44973</v>
      </c>
      <c r="E465" s="1" t="n">
        <v>46279</v>
      </c>
      <c r="F465" t="inlineStr">
        <is>
          <t>SKÅNE LÄN</t>
        </is>
      </c>
      <c r="G465" t="inlineStr">
        <is>
          <t>ÖSTRA GÖINGE</t>
        </is>
      </c>
      <c r="I465" t="n">
        <v>20.4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573-2024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46279</v>
      </c>
      <c r="F466" t="inlineStr">
        <is>
          <t>SKÅNE LÄN</t>
        </is>
      </c>
      <c r="G466" t="inlineStr">
        <is>
          <t>ÖSTRA GÖINGE</t>
        </is>
      </c>
      <c r="I466" t="n">
        <v>24.3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3997-2024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45569</v>
      </c>
      <c r="E467" s="1" t="n">
        <v>46279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568-2024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45350</v>
      </c>
      <c r="E468" s="1" t="n">
        <v>46279</v>
      </c>
      <c r="F468" t="inlineStr">
        <is>
          <t>SKÅNE LÄN</t>
        </is>
      </c>
      <c r="G468" t="inlineStr">
        <is>
          <t>ÖSTRA GÖINGE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46279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46279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46279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5662-2022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44841</v>
      </c>
      <c r="E472" s="1" t="n">
        <v>46279</v>
      </c>
      <c r="F472" t="inlineStr">
        <is>
          <t>SKÅNE LÄN</t>
        </is>
      </c>
      <c r="G472" t="inlineStr">
        <is>
          <t>ÖSTRA GÖINGE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3566-2023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45202</v>
      </c>
      <c r="E473" s="1" t="n">
        <v>46279</v>
      </c>
      <c r="F473" t="inlineStr">
        <is>
          <t>SKÅNE LÄN</t>
        </is>
      </c>
      <c r="G473" t="inlineStr">
        <is>
          <t>ÖSTRA GÖINGE</t>
        </is>
      </c>
      <c r="I473" t="n">
        <v>24.5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5137-2024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45645</v>
      </c>
      <c r="E474" s="1" t="n">
        <v>46279</v>
      </c>
      <c r="F474" t="inlineStr">
        <is>
          <t>SKÅNE LÄN</t>
        </is>
      </c>
      <c r="G474" t="inlineStr">
        <is>
          <t>ÖSTRA GÖINGE</t>
        </is>
      </c>
      <c r="I474" t="n">
        <v>48.8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5026-2024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45635</v>
      </c>
      <c r="E475" s="1" t="n">
        <v>46279</v>
      </c>
      <c r="F475" t="inlineStr">
        <is>
          <t>SKÅNE LÄN</t>
        </is>
      </c>
      <c r="G475" t="inlineStr">
        <is>
          <t>ÖSTRA GÖINGE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3730-2022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44742</v>
      </c>
      <c r="E476" s="1" t="n">
        <v>46279</v>
      </c>
      <c r="F476" t="inlineStr">
        <is>
          <t>SKÅNE LÄN</t>
        </is>
      </c>
      <c r="G476" t="inlineStr">
        <is>
          <t>ÖSTRA GÖINGE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3484-2023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45205</v>
      </c>
      <c r="E477" s="1" t="n">
        <v>46279</v>
      </c>
      <c r="F477" t="inlineStr">
        <is>
          <t>SKÅNE LÄN</t>
        </is>
      </c>
      <c r="G477" t="inlineStr">
        <is>
          <t>ÖSTRA GÖINGE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46279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46279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46279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46279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46279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46279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46279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46279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46279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46279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46279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46279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46279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46279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46279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46279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46279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2026-09-14T02:18:29Z</dcterms:created>
  <dcterms:modified xmlns:dcterms="http://purl.org/dc/terms/" xmlns:xsi="http://www.w3.org/2001/XMLSchema-instance" xsi:type="dcterms:W3CDTF">2026-09-14T02:18:29Z</dcterms:modified>
</cp:coreProperties>
</file>