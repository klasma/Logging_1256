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46231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46231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46231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46231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46231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46231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46231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46231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46231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46231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46231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46231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46231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30306-2025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46231</v>
      </c>
      <c r="F21" t="inlineStr">
        <is>
          <t>SKÅNE LÄN</t>
        </is>
      </c>
      <c r="G21" t="inlineStr">
        <is>
          <t>ÖSTRA GÖINGE</t>
        </is>
      </c>
      <c r="I21" t="n">
        <v>3.6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Dvärglin
Järnsparv</t>
        </is>
      </c>
      <c r="W21">
        <f>HYPERLINK("https://klasma.github.io/Logging_1256/artfynd/A 30306-2025 artfynd.xlsx", "A 30306-2025")</f>
        <v/>
      </c>
      <c r="X21">
        <f>HYPERLINK("https://klasma.github.io/Logging_1256/kartor/A 30306-2025 karta.png", "A 30306-2025")</f>
        <v/>
      </c>
      <c r="Y21">
        <f>HYPERLINK("https://klasma.github.io/Logging_1256/kartor_geotiff/A 30306-2025 georefererad karta.tif", "A 30306-2025")</f>
        <v/>
      </c>
      <c r="AA21">
        <f>HYPERLINK("https://klasma.github.io/Logging_1256/klagomål/A 30306-2025 FSC-klagomål.docx", "A 30306-2025")</f>
        <v/>
      </c>
      <c r="AB21">
        <f>HYPERLINK("https://klasma.github.io/Logging_1256/klagomålsmail/A 30306-2025 FSC-klagomål mail.docx", "A 30306-2025")</f>
        <v/>
      </c>
      <c r="AC21">
        <f>HYPERLINK("https://klasma.github.io/Logging_1256/tillsyn/A 30306-2025 tillsynsbegäran.docx", "A 30306-2025")</f>
        <v/>
      </c>
      <c r="AD21">
        <f>HYPERLINK("https://klasma.github.io/Logging_1256/tillsynsmail/A 30306-2025 tillsynsbegäran mail.docx", "A 30306-2025")</f>
        <v/>
      </c>
      <c r="AE21">
        <f>HYPERLINK("https://klasma.github.io/Logging_1256/fåglar/A 30306-2025 prioriterade fågelarter.docx", "A 30306-2025")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46231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46231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46231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46231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46231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46231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46231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46231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46231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46231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46231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46231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46231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46231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46231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38965-2025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46231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HYPERLINK("https://klasma.github.io/Logging_1256/artfynd/A 38965-2025 artfynd.xlsx", "A 38965-2025")</f>
        <v/>
      </c>
      <c r="X41">
        <f>HYPERLINK("https://klasma.github.io/Logging_1256/kartor/A 38965-2025 karta.png", "A 38965-2025")</f>
        <v/>
      </c>
      <c r="Y41">
        <f>HYPERLINK("https://klasma.github.io/Logging_1256/kartor_geotiff/A 38965-2025 georefererad karta.tif", "A 38965-2025")</f>
        <v/>
      </c>
      <c r="AA41">
        <f>HYPERLINK("https://klasma.github.io/Logging_1256/klagomål/A 38965-2025 FSC-klagomål.docx", "A 38965-2025")</f>
        <v/>
      </c>
      <c r="AB41">
        <f>HYPERLINK("https://klasma.github.io/Logging_1256/klagomålsmail/A 38965-2025 FSC-klagomål mail.docx", "A 38965-2025")</f>
        <v/>
      </c>
      <c r="AC41">
        <f>HYPERLINK("https://klasma.github.io/Logging_1256/tillsyn/A 38965-2025 tillsynsbegäran.docx", "A 38965-2025")</f>
        <v/>
      </c>
      <c r="AD41">
        <f>HYPERLINK("https://klasma.github.io/Logging_1256/tillsynsmail/A 38965-2025 tillsynsbegäran mail.docx", "A 38965-2025")</f>
        <v/>
      </c>
    </row>
    <row r="42" ht="15" customHeight="1">
      <c r="A42" t="inlineStr">
        <is>
          <t>A 59369-2024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46231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59369-2024 artfynd.xlsx", "A 59369-2024")</f>
        <v/>
      </c>
      <c r="X42">
        <f>HYPERLINK("https://klasma.github.io/Logging_1256/kartor/A 59369-2024 karta.png", "A 59369-2024")</f>
        <v/>
      </c>
      <c r="Y42">
        <f>HYPERLINK("https://klasma.github.io/Logging_1256/kartor_geotiff/A 59369-2024 georefererad karta.tif", "A 59369-2024")</f>
        <v/>
      </c>
      <c r="AA42">
        <f>HYPERLINK("https://klasma.github.io/Logging_1256/klagomål/A 59369-2024 FSC-klagomål.docx", "A 59369-2024")</f>
        <v/>
      </c>
      <c r="AB42">
        <f>HYPERLINK("https://klasma.github.io/Logging_1256/klagomålsmail/A 59369-2024 FSC-klagomål mail.docx", "A 59369-2024")</f>
        <v/>
      </c>
      <c r="AC42">
        <f>HYPERLINK("https://klasma.github.io/Logging_1256/tillsyn/A 59369-2024 tillsynsbegäran.docx", "A 59369-2024")</f>
        <v/>
      </c>
      <c r="AD42">
        <f>HYPERLINK("https://klasma.github.io/Logging_1256/tillsynsmail/A 59369-2024 tillsynsbegäran mail.docx", "A 59369-2024")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46231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HYPERLINK("https://klasma.github.io/Logging_1256/artfynd/A 45359-2023 artfynd.xlsx", "A 45359-2023")</f>
        <v/>
      </c>
      <c r="X43">
        <f>HYPERLINK("https://klasma.github.io/Logging_1256/kartor/A 45359-2023 karta.png", "A 45359-2023")</f>
        <v/>
      </c>
      <c r="Y43">
        <f>HYPERLINK("https://klasma.github.io/Logging_1256/kartor_geotiff/A 45359-2023 georefererad karta.tif", "A 45359-2023")</f>
        <v/>
      </c>
      <c r="AA43">
        <f>HYPERLINK("https://klasma.github.io/Logging_1256/klagomål/A 45359-2023 FSC-klagomål.docx", "A 45359-2023")</f>
        <v/>
      </c>
      <c r="AB43">
        <f>HYPERLINK("https://klasma.github.io/Logging_1256/klagomålsmail/A 45359-2023 FSC-klagomål mail.docx", "A 45359-2023")</f>
        <v/>
      </c>
      <c r="AC43">
        <f>HYPERLINK("https://klasma.github.io/Logging_1256/tillsyn/A 45359-2023 tillsynsbegäran.docx", "A 45359-2023")</f>
        <v/>
      </c>
      <c r="AD43">
        <f>HYPERLINK("https://klasma.github.io/Logging_1256/tillsynsmail/A 45359-2023 tillsynsbegäran mail.docx", "A 45359-2023")</f>
        <v/>
      </c>
    </row>
    <row r="44" ht="15" customHeight="1">
      <c r="A44" t="inlineStr">
        <is>
          <t>A 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45327</v>
      </c>
      <c r="E44" s="1" t="n">
        <v>46231</v>
      </c>
      <c r="F44" t="inlineStr">
        <is>
          <t>SKÅNE LÄN</t>
        </is>
      </c>
      <c r="G44" t="inlineStr">
        <is>
          <t>ÖSTRA GÖINGE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HYPERLINK("https://klasma.github.io/Logging_1256/artfynd/A 4383-2024 artfynd.xlsx", "A 4383-2024")</f>
        <v/>
      </c>
      <c r="X44">
        <f>HYPERLINK("https://klasma.github.io/Logging_1256/kartor/A 4383-2024 karta.png", "A 4383-2024")</f>
        <v/>
      </c>
      <c r="Y44">
        <f>HYPERLINK("https://klasma.github.io/Logging_1256/kartor_geotiff/A 4383-2024 georefererad karta.tif", "A 4383-2024")</f>
        <v/>
      </c>
      <c r="AA44">
        <f>HYPERLINK("https://klasma.github.io/Logging_1256/klagomål/A 4383-2024 FSC-klagomål.docx", "A 4383-2024")</f>
        <v/>
      </c>
      <c r="AB44">
        <f>HYPERLINK("https://klasma.github.io/Logging_1256/klagomålsmail/A 4383-2024 FSC-klagomål mail.docx", "A 4383-2024")</f>
        <v/>
      </c>
      <c r="AC44">
        <f>HYPERLINK("https://klasma.github.io/Logging_1256/tillsyn/A 4383-2024 tillsynsbegäran.docx", "A 4383-2024")</f>
        <v/>
      </c>
      <c r="AD44">
        <f>HYPERLINK("https://klasma.github.io/Logging_1256/tillsynsmail/A 4383-2024 tillsynsbegäran mail.docx", "A 4383-2024")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46231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46231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46231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46231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HYPERLINK("https://klasma.github.io/Logging_1256/artfynd/A 29273-2023 artfynd.xlsx", "A 29273-2023")</f>
        <v/>
      </c>
      <c r="X48">
        <f>HYPERLINK("https://klasma.github.io/Logging_1256/kartor/A 29273-2023 karta.png", "A 29273-2023")</f>
        <v/>
      </c>
      <c r="Y48">
        <f>HYPERLINK("https://klasma.github.io/Logging_1256/kartor_geotiff/A 29273-2023 georefererad karta.tif", "A 29273-2023")</f>
        <v/>
      </c>
      <c r="AA48">
        <f>HYPERLINK("https://klasma.github.io/Logging_1256/klagomål/A 29273-2023 FSC-klagomål.docx", "A 29273-2023")</f>
        <v/>
      </c>
      <c r="AB48">
        <f>HYPERLINK("https://klasma.github.io/Logging_1256/klagomålsmail/A 29273-2023 FSC-klagomål mail.docx", "A 29273-2023")</f>
        <v/>
      </c>
      <c r="AC48">
        <f>HYPERLINK("https://klasma.github.io/Logging_1256/tillsyn/A 29273-2023 tillsynsbegäran.docx", "A 29273-2023")</f>
        <v/>
      </c>
      <c r="AD48">
        <f>HYPERLINK("https://klasma.github.io/Logging_1256/tillsynsmail/A 29273-2023 tillsynsbegäran mail.docx", "A 29273-2023")</f>
        <v/>
      </c>
      <c r="AE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46231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46231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35526-2025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46231</v>
      </c>
      <c r="F51" t="inlineStr">
        <is>
          <t>SKÅNE LÄN</t>
        </is>
      </c>
      <c r="G51" t="inlineStr">
        <is>
          <t>ÖSTRA GÖINGE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Bokvårtlav</t>
        </is>
      </c>
      <c r="W51">
        <f>HYPERLINK("https://klasma.github.io/Logging_1256/artfynd/A 35526-2025 artfynd.xlsx", "A 35526-2025")</f>
        <v/>
      </c>
      <c r="X51">
        <f>HYPERLINK("https://klasma.github.io/Logging_1256/kartor/A 35526-2025 karta.png", "A 35526-2025")</f>
        <v/>
      </c>
      <c r="Y51">
        <f>HYPERLINK("https://klasma.github.io/Logging_1256/kartor_geotiff/A 35526-2025 georefererad karta.tif", "A 35526-2025")</f>
        <v/>
      </c>
      <c r="AA51">
        <f>HYPERLINK("https://klasma.github.io/Logging_1256/klagomål/A 35526-2025 FSC-klagomål.docx", "A 35526-2025")</f>
        <v/>
      </c>
      <c r="AB51">
        <f>HYPERLINK("https://klasma.github.io/Logging_1256/klagomålsmail/A 35526-2025 FSC-klagomål mail.docx", "A 35526-2025")</f>
        <v/>
      </c>
      <c r="AC51">
        <f>HYPERLINK("https://klasma.github.io/Logging_1256/tillsyn/A 35526-2025 tillsynsbegäran.docx", "A 35526-2025")</f>
        <v/>
      </c>
      <c r="AD51">
        <f>HYPERLINK("https://klasma.github.io/Logging_1256/tillsynsmail/A 35526-2025 tillsynsbegäran mail.docx", "A 35526-2025")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46231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HYPERLINK("https://klasma.github.io/Logging_1256/artfynd/A 4892-2023 artfynd.xlsx", "A 4892-2023")</f>
        <v/>
      </c>
      <c r="X52">
        <f>HYPERLINK("https://klasma.github.io/Logging_1256/kartor/A 4892-2023 karta.png", "A 4892-2023")</f>
        <v/>
      </c>
      <c r="Y52">
        <f>HYPERLINK("https://klasma.github.io/Logging_1256/kartor_geotiff/A 4892-2023 georefererad karta.tif", "A 4892-2023")</f>
        <v/>
      </c>
      <c r="AA52">
        <f>HYPERLINK("https://klasma.github.io/Logging_1256/klagomål/A 4892-2023 FSC-klagomål.docx", "A 4892-2023")</f>
        <v/>
      </c>
      <c r="AB52">
        <f>HYPERLINK("https://klasma.github.io/Logging_1256/klagomålsmail/A 4892-2023 FSC-klagomål mail.docx", "A 4892-2023")</f>
        <v/>
      </c>
      <c r="AC52">
        <f>HYPERLINK("https://klasma.github.io/Logging_1256/tillsyn/A 4892-2023 tillsynsbegäran.docx", "A 4892-2023")</f>
        <v/>
      </c>
      <c r="AD52">
        <f>HYPERLINK("https://klasma.github.io/Logging_1256/tillsynsmail/A 4892-2023 tillsynsbegäran mail.docx", "A 4892-2023")</f>
        <v/>
      </c>
      <c r="AE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46231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46231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Desmeknopp</t>
        </is>
      </c>
      <c r="W54">
        <f>HYPERLINK("https://klasma.github.io/Logging_1256/artfynd/A 62060-2022 artfynd.xlsx", "A 62060-2022")</f>
        <v/>
      </c>
      <c r="X54">
        <f>HYPERLINK("https://klasma.github.io/Logging_1256/kartor/A 62060-2022 karta.png", "A 62060-2022")</f>
        <v/>
      </c>
      <c r="Y54">
        <f>HYPERLINK("https://klasma.github.io/Logging_1256/kartor_geotiff/A 62060-2022 georefererad karta.tif", "A 62060-2022")</f>
        <v/>
      </c>
      <c r="AA54">
        <f>HYPERLINK("https://klasma.github.io/Logging_1256/klagomål/A 62060-2022 FSC-klagomål.docx", "A 62060-2022")</f>
        <v/>
      </c>
      <c r="AB54">
        <f>HYPERLINK("https://klasma.github.io/Logging_1256/klagomålsmail/A 62060-2022 FSC-klagomål mail.docx", "A 62060-2022")</f>
        <v/>
      </c>
      <c r="AC54">
        <f>HYPERLINK("https://klasma.github.io/Logging_1256/tillsyn/A 62060-2022 tillsynsbegäran.docx", "A 62060-2022")</f>
        <v/>
      </c>
      <c r="AD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46231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HYPERLINK("https://klasma.github.io/Logging_1256/artfynd/A 23400-2023 artfynd.xlsx", "A 23400-2023")</f>
        <v/>
      </c>
      <c r="X55">
        <f>HYPERLINK("https://klasma.github.io/Logging_1256/kartor/A 23400-2023 karta.png", "A 23400-2023")</f>
        <v/>
      </c>
      <c r="Y55">
        <f>HYPERLINK("https://klasma.github.io/Logging_1256/kartor_geotiff/A 23400-2023 georefererad karta.tif", "A 23400-2023")</f>
        <v/>
      </c>
      <c r="AA55">
        <f>HYPERLINK("https://klasma.github.io/Logging_1256/klagomål/A 23400-2023 FSC-klagomål.docx", "A 23400-2023")</f>
        <v/>
      </c>
      <c r="AB55">
        <f>HYPERLINK("https://klasma.github.io/Logging_1256/klagomålsmail/A 23400-2023 FSC-klagomål mail.docx", "A 23400-2023")</f>
        <v/>
      </c>
      <c r="AC55">
        <f>HYPERLINK("https://klasma.github.io/Logging_1256/tillsyn/A 23400-2023 tillsynsbegäran.docx", "A 23400-2023")</f>
        <v/>
      </c>
      <c r="AD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46231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46231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46231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46231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46231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46231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46231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46231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46231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46231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46231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46231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46231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46231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46231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46231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46231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46231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46231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46231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46231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46231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46231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46231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46231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46231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46231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46231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46231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46231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46231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46231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46231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46231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46231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46231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46231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46231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46231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46231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46231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46231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46231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46231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46231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44700</v>
      </c>
      <c r="E103" s="1" t="n">
        <v>46231</v>
      </c>
      <c r="F103" t="inlineStr">
        <is>
          <t>SKÅNE LÄN</t>
        </is>
      </c>
      <c r="G103" t="inlineStr">
        <is>
          <t>ÖSTRA GÖINGE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46231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46231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46231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46231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46231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44764-2021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46231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46231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45435</v>
      </c>
      <c r="E111" s="1" t="n">
        <v>46231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46231</v>
      </c>
      <c r="F112" t="inlineStr">
        <is>
          <t>SKÅNE LÄN</t>
        </is>
      </c>
      <c r="G112" t="inlineStr">
        <is>
          <t>ÖSTRA GÖINGE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46231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46231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74094-2021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46231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46231</v>
      </c>
      <c r="F116" t="inlineStr">
        <is>
          <t>SKÅNE LÄN</t>
        </is>
      </c>
      <c r="G116" t="inlineStr">
        <is>
          <t>ÖSTRA GÖINGE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53070-2023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45227</v>
      </c>
      <c r="E117" s="1" t="n">
        <v>46231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46231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46231</v>
      </c>
      <c r="F119" t="inlineStr">
        <is>
          <t>SKÅNE LÄN</t>
        </is>
      </c>
      <c r="G119" t="inlineStr">
        <is>
          <t>ÖSTRA GÖINGE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46231</v>
      </c>
      <c r="F120" t="inlineStr">
        <is>
          <t>SKÅNE LÄN</t>
        </is>
      </c>
      <c r="G120" t="inlineStr">
        <is>
          <t>ÖSTRA GÖINGE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46231</v>
      </c>
      <c r="F121" t="inlineStr">
        <is>
          <t>SKÅNE LÄN</t>
        </is>
      </c>
      <c r="G121" t="inlineStr">
        <is>
          <t>ÖSTRA GÖINGE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69383-2021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46231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46231</v>
      </c>
      <c r="F123" t="inlineStr">
        <is>
          <t>SKÅNE LÄN</t>
        </is>
      </c>
      <c r="G123" t="inlineStr">
        <is>
          <t>ÖSTRA GÖINGE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46231</v>
      </c>
      <c r="F124" t="inlineStr">
        <is>
          <t>SKÅNE LÄN</t>
        </is>
      </c>
      <c r="G124" t="inlineStr">
        <is>
          <t>ÖSTRA GÖINGE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52930-2021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46231</v>
      </c>
      <c r="F125" t="inlineStr">
        <is>
          <t>SKÅNE LÄN</t>
        </is>
      </c>
      <c r="G125" t="inlineStr">
        <is>
          <t>ÖSTRA GÖINGE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46231</v>
      </c>
      <c r="F126" t="inlineStr">
        <is>
          <t>SKÅNE LÄN</t>
        </is>
      </c>
      <c r="G126" t="inlineStr">
        <is>
          <t>ÖSTRA GÖINGE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46231</v>
      </c>
      <c r="F127" t="inlineStr">
        <is>
          <t>SKÅNE LÄN</t>
        </is>
      </c>
      <c r="G127" t="inlineStr">
        <is>
          <t>ÖSTRA GÖINGE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46231</v>
      </c>
      <c r="F128" t="inlineStr">
        <is>
          <t>SKÅNE LÄN</t>
        </is>
      </c>
      <c r="G128" t="inlineStr">
        <is>
          <t>ÖSTRA GÖINGE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46231</v>
      </c>
      <c r="F129" t="inlineStr">
        <is>
          <t>SKÅNE LÄN</t>
        </is>
      </c>
      <c r="G129" t="inlineStr">
        <is>
          <t>ÖSTRA GÖINGE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46231</v>
      </c>
      <c r="F130" t="inlineStr">
        <is>
          <t>SKÅNE LÄN</t>
        </is>
      </c>
      <c r="G130" t="inlineStr">
        <is>
          <t>ÖSTRA GÖINGE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45278</v>
      </c>
      <c r="E131" s="1" t="n">
        <v>46231</v>
      </c>
      <c r="F131" t="inlineStr">
        <is>
          <t>SKÅNE LÄN</t>
        </is>
      </c>
      <c r="G131" t="inlineStr">
        <is>
          <t>ÖSTRA GÖINGE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46231</v>
      </c>
      <c r="F132" t="inlineStr">
        <is>
          <t>SKÅNE LÄN</t>
        </is>
      </c>
      <c r="G132" t="inlineStr">
        <is>
          <t>ÖSTRA GÖINGE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46231</v>
      </c>
      <c r="F133" t="inlineStr">
        <is>
          <t>SKÅNE LÄN</t>
        </is>
      </c>
      <c r="G133" t="inlineStr">
        <is>
          <t>ÖSTRA GÖINGE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46231</v>
      </c>
      <c r="F134" t="inlineStr">
        <is>
          <t>SKÅNE LÄN</t>
        </is>
      </c>
      <c r="G134" t="inlineStr">
        <is>
          <t>ÖSTRA GÖINGE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46231</v>
      </c>
      <c r="F135" t="inlineStr">
        <is>
          <t>SKÅNE LÄN</t>
        </is>
      </c>
      <c r="G135" t="inlineStr">
        <is>
          <t>ÖSTRA GÖINGE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46231</v>
      </c>
      <c r="F136" t="inlineStr">
        <is>
          <t>SKÅNE LÄN</t>
        </is>
      </c>
      <c r="G136" t="inlineStr">
        <is>
          <t>ÖSTRA GÖINGE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46231</v>
      </c>
      <c r="F137" t="inlineStr">
        <is>
          <t>SKÅNE LÄN</t>
        </is>
      </c>
      <c r="G137" t="inlineStr">
        <is>
          <t>ÖSTRA GÖINGE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69375-2021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46231</v>
      </c>
      <c r="F138" t="inlineStr">
        <is>
          <t>SKÅNE LÄN</t>
        </is>
      </c>
      <c r="G138" t="inlineStr">
        <is>
          <t>ÖSTRA GÖINGE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69393-2021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44531</v>
      </c>
      <c r="E139" s="1" t="n">
        <v>46231</v>
      </c>
      <c r="F139" t="inlineStr">
        <is>
          <t>SKÅNE LÄN</t>
        </is>
      </c>
      <c r="G139" t="inlineStr">
        <is>
          <t>ÖSTRA GÖINGE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46231</v>
      </c>
      <c r="F140" t="inlineStr">
        <is>
          <t>SKÅNE LÄN</t>
        </is>
      </c>
      <c r="G140" t="inlineStr">
        <is>
          <t>ÖSTRA GÖINGE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46231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46231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44929</v>
      </c>
      <c r="E143" s="1" t="n">
        <v>46231</v>
      </c>
      <c r="F143" t="inlineStr">
        <is>
          <t>SKÅNE LÄN</t>
        </is>
      </c>
      <c r="G143" t="inlineStr">
        <is>
          <t>ÖSTRA GÖINGE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46231</v>
      </c>
      <c r="F144" t="inlineStr">
        <is>
          <t>SKÅNE LÄN</t>
        </is>
      </c>
      <c r="G144" t="inlineStr">
        <is>
          <t>ÖSTRA GÖINGE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46231</v>
      </c>
      <c r="F145" t="inlineStr">
        <is>
          <t>SKÅNE LÄN</t>
        </is>
      </c>
      <c r="G145" t="inlineStr">
        <is>
          <t>ÖSTRA GÖINGE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46231</v>
      </c>
      <c r="F146" t="inlineStr">
        <is>
          <t>SKÅNE LÄN</t>
        </is>
      </c>
      <c r="G146" t="inlineStr">
        <is>
          <t>ÖSTRA GÖINGE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46231</v>
      </c>
      <c r="F147" t="inlineStr">
        <is>
          <t>SKÅNE LÄN</t>
        </is>
      </c>
      <c r="G147" t="inlineStr">
        <is>
          <t>ÖSTRA GÖINGE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46231</v>
      </c>
      <c r="F148" t="inlineStr">
        <is>
          <t>SKÅNE LÄN</t>
        </is>
      </c>
      <c r="G148" t="inlineStr">
        <is>
          <t>ÖSTRA GÖINGE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46231</v>
      </c>
      <c r="F149" t="inlineStr">
        <is>
          <t>SKÅNE LÄN</t>
        </is>
      </c>
      <c r="G149" t="inlineStr">
        <is>
          <t>ÖSTRA GÖINGE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46231</v>
      </c>
      <c r="F150" t="inlineStr">
        <is>
          <t>SKÅNE LÄN</t>
        </is>
      </c>
      <c r="G150" t="inlineStr">
        <is>
          <t>ÖSTRA GÖINGE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46231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46231</v>
      </c>
      <c r="F152" t="inlineStr">
        <is>
          <t>SKÅNE LÄN</t>
        </is>
      </c>
      <c r="G152" t="inlineStr">
        <is>
          <t>ÖSTRA GÖINGE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44557</v>
      </c>
      <c r="E153" s="1" t="n">
        <v>46231</v>
      </c>
      <c r="F153" t="inlineStr">
        <is>
          <t>SKÅNE LÄN</t>
        </is>
      </c>
      <c r="G153" t="inlineStr">
        <is>
          <t>ÖSTRA GÖINGE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46231</v>
      </c>
      <c r="F154" t="inlineStr">
        <is>
          <t>SKÅNE LÄN</t>
        </is>
      </c>
      <c r="G154" t="inlineStr">
        <is>
          <t>ÖSTRA GÖINGE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46231</v>
      </c>
      <c r="F155" t="inlineStr">
        <is>
          <t>SKÅNE LÄN</t>
        </is>
      </c>
      <c r="G155" t="inlineStr">
        <is>
          <t>ÖSTRA GÖINGE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46231</v>
      </c>
      <c r="F156" t="inlineStr">
        <is>
          <t>SKÅNE LÄN</t>
        </is>
      </c>
      <c r="G156" t="inlineStr">
        <is>
          <t>ÖSTRA GÖINGE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46058</v>
      </c>
      <c r="E157" s="1" t="n">
        <v>46231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46057</v>
      </c>
      <c r="E158" s="1" t="n">
        <v>46231</v>
      </c>
      <c r="F158" t="inlineStr">
        <is>
          <t>SKÅNE LÄN</t>
        </is>
      </c>
      <c r="G158" t="inlineStr">
        <is>
          <t>ÖSTRA GÖINGE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46231</v>
      </c>
      <c r="F159" t="inlineStr">
        <is>
          <t>SKÅNE LÄN</t>
        </is>
      </c>
      <c r="G159" t="inlineStr">
        <is>
          <t>ÖSTRA GÖINGE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60251-2022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44910</v>
      </c>
      <c r="E160" s="1" t="n">
        <v>46231</v>
      </c>
      <c r="F160" t="inlineStr">
        <is>
          <t>SKÅNE LÄN</t>
        </is>
      </c>
      <c r="G160" t="inlineStr">
        <is>
          <t>ÖSTRA GÖINGE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46231</v>
      </c>
      <c r="F161" t="inlineStr">
        <is>
          <t>SKÅNE LÄN</t>
        </is>
      </c>
      <c r="G161" t="inlineStr">
        <is>
          <t>ÖSTRA GÖINGE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45489</v>
      </c>
      <c r="E162" s="1" t="n">
        <v>46231</v>
      </c>
      <c r="F162" t="inlineStr">
        <is>
          <t>SKÅNE LÄN</t>
        </is>
      </c>
      <c r="G162" t="inlineStr">
        <is>
          <t>ÖSTRA GÖINGE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46231</v>
      </c>
      <c r="F163" t="inlineStr">
        <is>
          <t>SKÅNE LÄN</t>
        </is>
      </c>
      <c r="G163" t="inlineStr">
        <is>
          <t>ÖSTRA GÖINGE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46231</v>
      </c>
      <c r="F164" t="inlineStr">
        <is>
          <t>SKÅNE LÄN</t>
        </is>
      </c>
      <c r="G164" t="inlineStr">
        <is>
          <t>ÖSTRA GÖINGE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46231</v>
      </c>
      <c r="F165" t="inlineStr">
        <is>
          <t>SKÅNE LÄN</t>
        </is>
      </c>
      <c r="G165" t="inlineStr">
        <is>
          <t>ÖSTRA GÖINGE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46231</v>
      </c>
      <c r="F166" t="inlineStr">
        <is>
          <t>SKÅNE LÄN</t>
        </is>
      </c>
      <c r="G166" t="inlineStr">
        <is>
          <t>ÖSTRA GÖINGE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46231</v>
      </c>
      <c r="F167" t="inlineStr">
        <is>
          <t>SKÅNE LÄN</t>
        </is>
      </c>
      <c r="G167" t="inlineStr">
        <is>
          <t>ÖSTRA GÖINGE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46231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46231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45082</v>
      </c>
      <c r="E170" s="1" t="n">
        <v>46231</v>
      </c>
      <c r="F170" t="inlineStr">
        <is>
          <t>SKÅNE LÄN</t>
        </is>
      </c>
      <c r="G170" t="inlineStr">
        <is>
          <t>ÖSTRA GÖINGE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45408</v>
      </c>
      <c r="E171" s="1" t="n">
        <v>46231</v>
      </c>
      <c r="F171" t="inlineStr">
        <is>
          <t>SKÅNE LÄN</t>
        </is>
      </c>
      <c r="G171" t="inlineStr">
        <is>
          <t>ÖSTRA GÖINGE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46231</v>
      </c>
      <c r="F172" t="inlineStr">
        <is>
          <t>SKÅNE LÄN</t>
        </is>
      </c>
      <c r="G172" t="inlineStr">
        <is>
          <t>ÖSTRA GÖINGE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46231</v>
      </c>
      <c r="F173" t="inlineStr">
        <is>
          <t>SKÅNE LÄN</t>
        </is>
      </c>
      <c r="G173" t="inlineStr">
        <is>
          <t>ÖSTRA GÖINGE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46231</v>
      </c>
      <c r="F174" t="inlineStr">
        <is>
          <t>SKÅNE LÄN</t>
        </is>
      </c>
      <c r="G174" t="inlineStr">
        <is>
          <t>ÖSTRA GÖINGE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46231</v>
      </c>
      <c r="F175" t="inlineStr">
        <is>
          <t>SKÅNE LÄN</t>
        </is>
      </c>
      <c r="G175" t="inlineStr">
        <is>
          <t>ÖSTRA GÖINGE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46231</v>
      </c>
      <c r="F176" t="inlineStr">
        <is>
          <t>SKÅNE LÄN</t>
        </is>
      </c>
      <c r="G176" t="inlineStr">
        <is>
          <t>ÖSTRA GÖINGE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46231</v>
      </c>
      <c r="F177" t="inlineStr">
        <is>
          <t>SKÅNE LÄN</t>
        </is>
      </c>
      <c r="G177" t="inlineStr">
        <is>
          <t>ÖSTRA GÖINGE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46231</v>
      </c>
      <c r="F178" t="inlineStr">
        <is>
          <t>SKÅNE LÄN</t>
        </is>
      </c>
      <c r="G178" t="inlineStr">
        <is>
          <t>ÖSTRA GÖINGE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46231</v>
      </c>
      <c r="F179" t="inlineStr">
        <is>
          <t>SKÅNE LÄN</t>
        </is>
      </c>
      <c r="G179" t="inlineStr">
        <is>
          <t>ÖSTRA GÖINGE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46231</v>
      </c>
      <c r="F180" t="inlineStr">
        <is>
          <t>SKÅNE LÄN</t>
        </is>
      </c>
      <c r="G180" t="inlineStr">
        <is>
          <t>ÖSTRA GÖINGE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46231</v>
      </c>
      <c r="F181" t="inlineStr">
        <is>
          <t>SKÅNE LÄN</t>
        </is>
      </c>
      <c r="G181" t="inlineStr">
        <is>
          <t>ÖSTRA GÖINGE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46231</v>
      </c>
      <c r="F182" t="inlineStr">
        <is>
          <t>SKÅNE LÄN</t>
        </is>
      </c>
      <c r="G182" t="inlineStr">
        <is>
          <t>ÖSTRA GÖINGE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45856</v>
      </c>
      <c r="E183" s="1" t="n">
        <v>46231</v>
      </c>
      <c r="F183" t="inlineStr">
        <is>
          <t>SKÅNE LÄN</t>
        </is>
      </c>
      <c r="G183" t="inlineStr">
        <is>
          <t>ÖSTRA GÖINGE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46231</v>
      </c>
      <c r="F184" t="inlineStr">
        <is>
          <t>SKÅNE LÄN</t>
        </is>
      </c>
      <c r="G184" t="inlineStr">
        <is>
          <t>ÖSTRA GÖINGE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46231</v>
      </c>
      <c r="F185" t="inlineStr">
        <is>
          <t>SKÅNE LÄN</t>
        </is>
      </c>
      <c r="G185" t="inlineStr">
        <is>
          <t>ÖSTRA GÖINGE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34931-2023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45142</v>
      </c>
      <c r="E186" s="1" t="n">
        <v>46231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44930</v>
      </c>
      <c r="E187" s="1" t="n">
        <v>46231</v>
      </c>
      <c r="F187" t="inlineStr">
        <is>
          <t>SKÅNE LÄN</t>
        </is>
      </c>
      <c r="G187" t="inlineStr">
        <is>
          <t>ÖSTRA GÖINGE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46231</v>
      </c>
      <c r="F188" t="inlineStr">
        <is>
          <t>SKÅNE LÄN</t>
        </is>
      </c>
      <c r="G188" t="inlineStr">
        <is>
          <t>ÖSTRA GÖINGE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46231</v>
      </c>
      <c r="F189" t="inlineStr">
        <is>
          <t>SKÅNE LÄN</t>
        </is>
      </c>
      <c r="G189" t="inlineStr">
        <is>
          <t>ÖSTRA GÖINGE</t>
        </is>
      </c>
      <c r="I189" t="n">
        <v>12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46231</v>
      </c>
      <c r="F190" t="inlineStr">
        <is>
          <t>SKÅNE LÄN</t>
        </is>
      </c>
      <c r="G190" t="inlineStr">
        <is>
          <t>ÖSTRA GÖINGE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35547-2023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45146</v>
      </c>
      <c r="E191" s="1" t="n">
        <v>46231</v>
      </c>
      <c r="F191" t="inlineStr">
        <is>
          <t>SKÅNE LÄN</t>
        </is>
      </c>
      <c r="G191" t="inlineStr">
        <is>
          <t>ÖSTRA GÖINGE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46231</v>
      </c>
      <c r="F192" t="inlineStr">
        <is>
          <t>SKÅNE LÄN</t>
        </is>
      </c>
      <c r="G192" t="inlineStr">
        <is>
          <t>ÖSTRA GÖINGE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57543-2022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46231</v>
      </c>
      <c r="F193" t="inlineStr">
        <is>
          <t>SKÅNE LÄN</t>
        </is>
      </c>
      <c r="G193" t="inlineStr">
        <is>
          <t>ÖSTRA GÖINGE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46231</v>
      </c>
      <c r="F194" t="inlineStr">
        <is>
          <t>SKÅNE LÄN</t>
        </is>
      </c>
      <c r="G194" t="inlineStr">
        <is>
          <t>ÖSTRA GÖINGE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58868-2021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44489</v>
      </c>
      <c r="E195" s="1" t="n">
        <v>46231</v>
      </c>
      <c r="F195" t="inlineStr">
        <is>
          <t>SKÅNE LÄN</t>
        </is>
      </c>
      <c r="G195" t="inlineStr">
        <is>
          <t>ÖSTRA GÖINGE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36324-2022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44803</v>
      </c>
      <c r="E196" s="1" t="n">
        <v>46231</v>
      </c>
      <c r="F196" t="inlineStr">
        <is>
          <t>SKÅNE LÄN</t>
        </is>
      </c>
      <c r="G196" t="inlineStr">
        <is>
          <t>ÖSTRA GÖINGE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46231</v>
      </c>
      <c r="F197" t="inlineStr">
        <is>
          <t>SKÅNE LÄN</t>
        </is>
      </c>
      <c r="G197" t="inlineStr">
        <is>
          <t>ÖSTRA GÖINGE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45256</v>
      </c>
      <c r="E198" s="1" t="n">
        <v>46231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46231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46231</v>
      </c>
      <c r="F200" t="inlineStr">
        <is>
          <t>SKÅNE LÄN</t>
        </is>
      </c>
      <c r="G200" t="inlineStr">
        <is>
          <t>ÖSTRA GÖINGE</t>
        </is>
      </c>
      <c r="H200" t="inlineStr">
        <is>
          <t>Kyrkan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46231</v>
      </c>
      <c r="F201" t="inlineStr">
        <is>
          <t>SKÅNE LÄN</t>
        </is>
      </c>
      <c r="G201" t="inlineStr">
        <is>
          <t>ÖSTRA GÖINGE</t>
        </is>
      </c>
      <c r="H201" t="inlineStr">
        <is>
          <t>Kyrkan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46231</v>
      </c>
      <c r="F202" t="inlineStr">
        <is>
          <t>SKÅNE LÄN</t>
        </is>
      </c>
      <c r="G202" t="inlineStr">
        <is>
          <t>ÖSTRA GÖINGE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44946</v>
      </c>
      <c r="E203" s="1" t="n">
        <v>46231</v>
      </c>
      <c r="F203" t="inlineStr">
        <is>
          <t>SKÅNE LÄN</t>
        </is>
      </c>
      <c r="G203" t="inlineStr">
        <is>
          <t>ÖSTRA GÖINGE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44958</v>
      </c>
      <c r="E204" s="1" t="n">
        <v>46231</v>
      </c>
      <c r="F204" t="inlineStr">
        <is>
          <t>SKÅNE LÄN</t>
        </is>
      </c>
      <c r="G204" t="inlineStr">
        <is>
          <t>ÖSTRA GÖINGE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46231</v>
      </c>
      <c r="F205" t="inlineStr">
        <is>
          <t>SKÅNE LÄN</t>
        </is>
      </c>
      <c r="G205" t="inlineStr">
        <is>
          <t>ÖSTRA GÖINGE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46231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46231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46231</v>
      </c>
      <c r="F208" t="inlineStr">
        <is>
          <t>SKÅNE LÄN</t>
        </is>
      </c>
      <c r="G208" t="inlineStr">
        <is>
          <t>ÖSTRA GÖINGE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45601</v>
      </c>
      <c r="E209" s="1" t="n">
        <v>46231</v>
      </c>
      <c r="F209" t="inlineStr">
        <is>
          <t>SKÅNE LÄN</t>
        </is>
      </c>
      <c r="G209" t="inlineStr">
        <is>
          <t>ÖSTRA GÖINGE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45674</v>
      </c>
      <c r="E210" s="1" t="n">
        <v>46231</v>
      </c>
      <c r="F210" t="inlineStr">
        <is>
          <t>SKÅNE LÄN</t>
        </is>
      </c>
      <c r="G210" t="inlineStr">
        <is>
          <t>ÖSTRA GÖINGE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45727</v>
      </c>
      <c r="E211" s="1" t="n">
        <v>46231</v>
      </c>
      <c r="F211" t="inlineStr">
        <is>
          <t>SKÅNE LÄN</t>
        </is>
      </c>
      <c r="G211" t="inlineStr">
        <is>
          <t>ÖSTRA GÖINGE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45147</v>
      </c>
      <c r="E212" s="1" t="n">
        <v>46231</v>
      </c>
      <c r="F212" t="inlineStr">
        <is>
          <t>SKÅNE LÄN</t>
        </is>
      </c>
      <c r="G212" t="inlineStr">
        <is>
          <t>ÖSTRA GÖINGE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46132</v>
      </c>
      <c r="E213" s="1" t="n">
        <v>46231</v>
      </c>
      <c r="F213" t="inlineStr">
        <is>
          <t>SKÅNE LÄN</t>
        </is>
      </c>
      <c r="G213" t="inlineStr">
        <is>
          <t>ÖSTRA GÖINGE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46132</v>
      </c>
      <c r="E214" s="1" t="n">
        <v>46231</v>
      </c>
      <c r="F214" t="inlineStr">
        <is>
          <t>SKÅNE LÄN</t>
        </is>
      </c>
      <c r="G214" t="inlineStr">
        <is>
          <t>ÖSTRA GÖINGE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46231</v>
      </c>
      <c r="F215" t="inlineStr">
        <is>
          <t>SKÅNE LÄN</t>
        </is>
      </c>
      <c r="G215" t="inlineStr">
        <is>
          <t>ÖSTRA GÖINGE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46231</v>
      </c>
      <c r="F216" t="inlineStr">
        <is>
          <t>SKÅNE LÄN</t>
        </is>
      </c>
      <c r="G216" t="inlineStr">
        <is>
          <t>ÖSTRA GÖINGE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19192-2026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46132</v>
      </c>
      <c r="E217" s="1" t="n">
        <v>46231</v>
      </c>
      <c r="F217" t="inlineStr">
        <is>
          <t>SKÅNE LÄN</t>
        </is>
      </c>
      <c r="G217" t="inlineStr">
        <is>
          <t>ÖSTRA GÖINGE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46132</v>
      </c>
      <c r="E218" s="1" t="n">
        <v>46231</v>
      </c>
      <c r="F218" t="inlineStr">
        <is>
          <t>SKÅNE LÄN</t>
        </is>
      </c>
      <c r="G218" t="inlineStr">
        <is>
          <t>ÖSTRA GÖINGE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46132</v>
      </c>
      <c r="E219" s="1" t="n">
        <v>46231</v>
      </c>
      <c r="F219" t="inlineStr">
        <is>
          <t>SKÅNE LÄN</t>
        </is>
      </c>
      <c r="G219" t="inlineStr">
        <is>
          <t>ÖSTRA GÖINGE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46231</v>
      </c>
      <c r="F220" t="inlineStr">
        <is>
          <t>SKÅNE LÄN</t>
        </is>
      </c>
      <c r="G220" t="inlineStr">
        <is>
          <t>ÖSTRA GÖINGE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46133</v>
      </c>
      <c r="E221" s="1" t="n">
        <v>46231</v>
      </c>
      <c r="F221" t="inlineStr">
        <is>
          <t>SKÅNE LÄN</t>
        </is>
      </c>
      <c r="G221" t="inlineStr">
        <is>
          <t>ÖSTRA GÖINGE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46231</v>
      </c>
      <c r="F222" t="inlineStr">
        <is>
          <t>SKÅNE LÄN</t>
        </is>
      </c>
      <c r="G222" t="inlineStr">
        <is>
          <t>ÖSTRA GÖINGE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46231</v>
      </c>
      <c r="F223" t="inlineStr">
        <is>
          <t>SKÅNE LÄN</t>
        </is>
      </c>
      <c r="G223" t="inlineStr">
        <is>
          <t>ÖSTRA GÖINGE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46231</v>
      </c>
      <c r="F224" t="inlineStr">
        <is>
          <t>SKÅNE LÄN</t>
        </is>
      </c>
      <c r="G224" t="inlineStr">
        <is>
          <t>ÖSTRA GÖINGE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46231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46231</v>
      </c>
      <c r="F226" t="inlineStr">
        <is>
          <t>SKÅNE LÄN</t>
        </is>
      </c>
      <c r="G226" t="inlineStr">
        <is>
          <t>ÖSTRA GÖINGE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46231</v>
      </c>
      <c r="F227" t="inlineStr">
        <is>
          <t>SKÅNE LÄN</t>
        </is>
      </c>
      <c r="G227" t="inlineStr">
        <is>
          <t>ÖSTRA GÖINGE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46231</v>
      </c>
      <c r="F228" t="inlineStr">
        <is>
          <t>SKÅNE LÄN</t>
        </is>
      </c>
      <c r="G228" t="inlineStr">
        <is>
          <t>ÖSTRA GÖINGE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41548-2022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44826</v>
      </c>
      <c r="E229" s="1" t="n">
        <v>46231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46231</v>
      </c>
      <c r="F230" t="inlineStr">
        <is>
          <t>SKÅNE LÄN</t>
        </is>
      </c>
      <c r="G230" t="inlineStr">
        <is>
          <t>ÖSTRA GÖINGE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46231</v>
      </c>
      <c r="F231" t="inlineStr">
        <is>
          <t>SKÅNE LÄN</t>
        </is>
      </c>
      <c r="G231" t="inlineStr">
        <is>
          <t>ÖSTRA GÖINGE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46231</v>
      </c>
      <c r="F232" t="inlineStr">
        <is>
          <t>SKÅNE LÄN</t>
        </is>
      </c>
      <c r="G232" t="inlineStr">
        <is>
          <t>ÖSTRA GÖINGE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46231</v>
      </c>
      <c r="F233" t="inlineStr">
        <is>
          <t>SKÅNE LÄN</t>
        </is>
      </c>
      <c r="G233" t="inlineStr">
        <is>
          <t>ÖSTRA GÖINGE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46231</v>
      </c>
      <c r="F234" t="inlineStr">
        <is>
          <t>SKÅNE LÄN</t>
        </is>
      </c>
      <c r="G234" t="inlineStr">
        <is>
          <t>ÖSTRA GÖINGE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60394-2024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45643</v>
      </c>
      <c r="E235" s="1" t="n">
        <v>46231</v>
      </c>
      <c r="F235" t="inlineStr">
        <is>
          <t>SKÅNE LÄN</t>
        </is>
      </c>
      <c r="G235" t="inlineStr">
        <is>
          <t>ÖSTRA GÖINGE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46231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50896-2021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44460</v>
      </c>
      <c r="E237" s="1" t="n">
        <v>46231</v>
      </c>
      <c r="F237" t="inlineStr">
        <is>
          <t>SKÅNE LÄN</t>
        </is>
      </c>
      <c r="G237" t="inlineStr">
        <is>
          <t>ÖSTRA GÖINGE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44459</v>
      </c>
      <c r="E238" s="1" t="n">
        <v>46231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55140-2022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44886</v>
      </c>
      <c r="E239" s="1" t="n">
        <v>46231</v>
      </c>
      <c r="F239" t="inlineStr">
        <is>
          <t>SKÅNE LÄN</t>
        </is>
      </c>
      <c r="G239" t="inlineStr">
        <is>
          <t>ÖSTRA GÖINGE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45198</v>
      </c>
      <c r="E240" s="1" t="n">
        <v>46231</v>
      </c>
      <c r="F240" t="inlineStr">
        <is>
          <t>SKÅNE LÄN</t>
        </is>
      </c>
      <c r="G240" t="inlineStr">
        <is>
          <t>ÖSTRA GÖINGE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45539</v>
      </c>
      <c r="E241" s="1" t="n">
        <v>46231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46231</v>
      </c>
      <c r="F242" t="inlineStr">
        <is>
          <t>SKÅNE LÄN</t>
        </is>
      </c>
      <c r="G242" t="inlineStr">
        <is>
          <t>ÖSTRA GÖINGE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45268</v>
      </c>
      <c r="E243" s="1" t="n">
        <v>46231</v>
      </c>
      <c r="F243" t="inlineStr">
        <is>
          <t>SKÅNE LÄN</t>
        </is>
      </c>
      <c r="G243" t="inlineStr">
        <is>
          <t>ÖSTRA GÖINGE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62052-2022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44918</v>
      </c>
      <c r="E244" s="1" t="n">
        <v>46231</v>
      </c>
      <c r="F244" t="inlineStr">
        <is>
          <t>SKÅNE LÄN</t>
        </is>
      </c>
      <c r="G244" t="inlineStr">
        <is>
          <t>ÖSTRA GÖINGE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46231</v>
      </c>
      <c r="F245" t="inlineStr">
        <is>
          <t>SKÅNE LÄN</t>
        </is>
      </c>
      <c r="G245" t="inlineStr">
        <is>
          <t>ÖSTRA GÖINGE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46231</v>
      </c>
      <c r="F246" t="inlineStr">
        <is>
          <t>SKÅNE LÄN</t>
        </is>
      </c>
      <c r="G246" t="inlineStr">
        <is>
          <t>ÖSTRA GÖINGE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46030</v>
      </c>
      <c r="E247" s="1" t="n">
        <v>46231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45069</v>
      </c>
      <c r="E248" s="1" t="n">
        <v>46231</v>
      </c>
      <c r="F248" t="inlineStr">
        <is>
          <t>SKÅNE LÄN</t>
        </is>
      </c>
      <c r="G248" t="inlineStr">
        <is>
          <t>ÖSTRA GÖINGE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45090</v>
      </c>
      <c r="E249" s="1" t="n">
        <v>46231</v>
      </c>
      <c r="F249" t="inlineStr">
        <is>
          <t>SKÅNE LÄN</t>
        </is>
      </c>
      <c r="G249" t="inlineStr">
        <is>
          <t>ÖSTRA GÖINGE</t>
        </is>
      </c>
      <c r="I249" t="n">
        <v>12.8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44929</v>
      </c>
      <c r="E250" s="1" t="n">
        <v>46231</v>
      </c>
      <c r="F250" t="inlineStr">
        <is>
          <t>SKÅNE LÄN</t>
        </is>
      </c>
      <c r="G250" t="inlineStr">
        <is>
          <t>ÖSTRA GÖINGE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46231</v>
      </c>
      <c r="F251" t="inlineStr">
        <is>
          <t>SKÅNE LÄN</t>
        </is>
      </c>
      <c r="G251" t="inlineStr">
        <is>
          <t>ÖSTRA GÖINGE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46231</v>
      </c>
      <c r="F252" t="inlineStr">
        <is>
          <t>SKÅNE LÄN</t>
        </is>
      </c>
      <c r="G252" t="inlineStr">
        <is>
          <t>ÖSTRA GÖINGE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50922-2021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44459</v>
      </c>
      <c r="E253" s="1" t="n">
        <v>46231</v>
      </c>
      <c r="F253" t="inlineStr">
        <is>
          <t>SKÅNE LÄN</t>
        </is>
      </c>
      <c r="G253" t="inlineStr">
        <is>
          <t>ÖSTRA GÖINGE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46231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46231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69384-2021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46231</v>
      </c>
      <c r="F256" t="inlineStr">
        <is>
          <t>SKÅNE LÄN</t>
        </is>
      </c>
      <c r="G256" t="inlineStr">
        <is>
          <t>ÖSTRA GÖINGE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60780-2022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46231</v>
      </c>
      <c r="F257" t="inlineStr">
        <is>
          <t>SKÅNE LÄN</t>
        </is>
      </c>
      <c r="G257" t="inlineStr">
        <is>
          <t>ÖSTRA GÖINGE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21260-2026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46147</v>
      </c>
      <c r="E258" s="1" t="n">
        <v>46231</v>
      </c>
      <c r="F258" t="inlineStr">
        <is>
          <t>SKÅNE LÄN</t>
        </is>
      </c>
      <c r="G258" t="inlineStr">
        <is>
          <t>ÖSTRA GÖINGE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29285-2023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46231</v>
      </c>
      <c r="F259" t="inlineStr">
        <is>
          <t>SKÅNE LÄN</t>
        </is>
      </c>
      <c r="G259" t="inlineStr">
        <is>
          <t>ÖSTRA GÖINGE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45316</v>
      </c>
      <c r="E260" s="1" t="n">
        <v>46231</v>
      </c>
      <c r="F260" t="inlineStr">
        <is>
          <t>SKÅNE LÄN</t>
        </is>
      </c>
      <c r="G260" t="inlineStr">
        <is>
          <t>ÖSTRA GÖINGE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71741-2021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46231</v>
      </c>
      <c r="F261" t="inlineStr">
        <is>
          <t>SKÅNE LÄN</t>
        </is>
      </c>
      <c r="G261" t="inlineStr">
        <is>
          <t>ÖSTRA GÖINGE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46231</v>
      </c>
      <c r="F262" t="inlineStr">
        <is>
          <t>SKÅNE LÄN</t>
        </is>
      </c>
      <c r="G262" t="inlineStr">
        <is>
          <t>ÖSTRA GÖINGE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45015</v>
      </c>
      <c r="E263" s="1" t="n">
        <v>46231</v>
      </c>
      <c r="F263" t="inlineStr">
        <is>
          <t>SKÅNE LÄN</t>
        </is>
      </c>
      <c r="G263" t="inlineStr">
        <is>
          <t>ÖSTRA GÖINGE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45078</v>
      </c>
      <c r="E264" s="1" t="n">
        <v>46231</v>
      </c>
      <c r="F264" t="inlineStr">
        <is>
          <t>SKÅNE LÄN</t>
        </is>
      </c>
      <c r="G264" t="inlineStr">
        <is>
          <t>ÖSTRA GÖINGE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46231</v>
      </c>
      <c r="F265" t="inlineStr">
        <is>
          <t>SKÅNE LÄN</t>
        </is>
      </c>
      <c r="G265" t="inlineStr">
        <is>
          <t>ÖSTRA GÖINGE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45935</v>
      </c>
      <c r="E266" s="1" t="n">
        <v>46231</v>
      </c>
      <c r="F266" t="inlineStr">
        <is>
          <t>SKÅNE LÄN</t>
        </is>
      </c>
      <c r="G266" t="inlineStr">
        <is>
          <t>ÖSTRA GÖINGE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55716-2024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45622</v>
      </c>
      <c r="E267" s="1" t="n">
        <v>46231</v>
      </c>
      <c r="F267" t="inlineStr">
        <is>
          <t>SKÅNE LÄN</t>
        </is>
      </c>
      <c r="G267" t="inlineStr">
        <is>
          <t>ÖSTRA GÖINGE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46231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44956</v>
      </c>
      <c r="E269" s="1" t="n">
        <v>46231</v>
      </c>
      <c r="F269" t="inlineStr">
        <is>
          <t>SKÅNE LÄN</t>
        </is>
      </c>
      <c r="G269" t="inlineStr">
        <is>
          <t>ÖSTRA GÖINGE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45142</v>
      </c>
      <c r="E270" s="1" t="n">
        <v>46231</v>
      </c>
      <c r="F270" t="inlineStr">
        <is>
          <t>SKÅNE LÄN</t>
        </is>
      </c>
      <c r="G270" t="inlineStr">
        <is>
          <t>ÖSTRA GÖINGE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46231</v>
      </c>
      <c r="F271" t="inlineStr">
        <is>
          <t>SKÅNE LÄN</t>
        </is>
      </c>
      <c r="G271" t="inlineStr">
        <is>
          <t>ÖSTRA GÖINGE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46231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45331</v>
      </c>
      <c r="E273" s="1" t="n">
        <v>46231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46231</v>
      </c>
      <c r="F274" t="inlineStr">
        <is>
          <t>SKÅNE LÄN</t>
        </is>
      </c>
      <c r="G274" t="inlineStr">
        <is>
          <t>ÖSTRA GÖINGE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46231</v>
      </c>
      <c r="F275" t="inlineStr">
        <is>
          <t>SKÅNE LÄN</t>
        </is>
      </c>
      <c r="G275" t="inlineStr">
        <is>
          <t>ÖSTRA GÖINGE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45029</v>
      </c>
      <c r="E276" s="1" t="n">
        <v>46231</v>
      </c>
      <c r="F276" t="inlineStr">
        <is>
          <t>SKÅNE LÄN</t>
        </is>
      </c>
      <c r="G276" t="inlineStr">
        <is>
          <t>ÖSTRA GÖINGE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46231</v>
      </c>
      <c r="F277" t="inlineStr">
        <is>
          <t>SKÅNE LÄN</t>
        </is>
      </c>
      <c r="G277" t="inlineStr">
        <is>
          <t>ÖSTRA GÖINGE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45807</v>
      </c>
      <c r="E278" s="1" t="n">
        <v>46231</v>
      </c>
      <c r="F278" t="inlineStr">
        <is>
          <t>SKÅNE LÄN</t>
        </is>
      </c>
      <c r="G278" t="inlineStr">
        <is>
          <t>ÖSTRA GÖINGE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46231</v>
      </c>
      <c r="F279" t="inlineStr">
        <is>
          <t>SKÅNE LÄN</t>
        </is>
      </c>
      <c r="G279" t="inlineStr">
        <is>
          <t>ÖSTRA GÖINGE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45538</v>
      </c>
      <c r="E280" s="1" t="n">
        <v>46231</v>
      </c>
      <c r="F280" t="inlineStr">
        <is>
          <t>SKÅNE LÄN</t>
        </is>
      </c>
      <c r="G280" t="inlineStr">
        <is>
          <t>ÖSTRA GÖINGE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46231</v>
      </c>
      <c r="F281" t="inlineStr">
        <is>
          <t>SKÅNE LÄN</t>
        </is>
      </c>
      <c r="G281" t="inlineStr">
        <is>
          <t>ÖSTRA GÖINGE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45428</v>
      </c>
      <c r="E282" s="1" t="n">
        <v>46231</v>
      </c>
      <c r="F282" t="inlineStr">
        <is>
          <t>SKÅNE LÄN</t>
        </is>
      </c>
      <c r="G282" t="inlineStr">
        <is>
          <t>ÖSTRA GÖINGE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45105</v>
      </c>
      <c r="E283" s="1" t="n">
        <v>46231</v>
      </c>
      <c r="F283" t="inlineStr">
        <is>
          <t>SKÅNE LÄN</t>
        </is>
      </c>
      <c r="G283" t="inlineStr">
        <is>
          <t>ÖSTRA GÖINGE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46231</v>
      </c>
      <c r="F284" t="inlineStr">
        <is>
          <t>SKÅNE LÄN</t>
        </is>
      </c>
      <c r="G284" t="inlineStr">
        <is>
          <t>ÖSTRA GÖINGE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45733</v>
      </c>
      <c r="E285" s="1" t="n">
        <v>46231</v>
      </c>
      <c r="F285" t="inlineStr">
        <is>
          <t>SKÅNE LÄN</t>
        </is>
      </c>
      <c r="G285" t="inlineStr">
        <is>
          <t>ÖSTRA GÖINGE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50663-2024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45601</v>
      </c>
      <c r="E286" s="1" t="n">
        <v>46231</v>
      </c>
      <c r="F286" t="inlineStr">
        <is>
          <t>SKÅNE LÄN</t>
        </is>
      </c>
      <c r="G286" t="inlineStr">
        <is>
          <t>ÖSTRA GÖINGE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46231</v>
      </c>
      <c r="F287" t="inlineStr">
        <is>
          <t>SKÅNE LÄN</t>
        </is>
      </c>
      <c r="G287" t="inlineStr">
        <is>
          <t>ÖSTRA GÖINGE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46231</v>
      </c>
      <c r="F288" t="inlineStr">
        <is>
          <t>SKÅNE LÄN</t>
        </is>
      </c>
      <c r="G288" t="inlineStr">
        <is>
          <t>ÖSTRA GÖINGE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45139</v>
      </c>
      <c r="E289" s="1" t="n">
        <v>46231</v>
      </c>
      <c r="F289" t="inlineStr">
        <is>
          <t>SKÅNE LÄN</t>
        </is>
      </c>
      <c r="G289" t="inlineStr">
        <is>
          <t>ÖSTRA GÖINGE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45117</v>
      </c>
      <c r="E290" s="1" t="n">
        <v>46231</v>
      </c>
      <c r="F290" t="inlineStr">
        <is>
          <t>SKÅNE LÄN</t>
        </is>
      </c>
      <c r="G290" t="inlineStr">
        <is>
          <t>ÖSTRA GÖINGE</t>
        </is>
      </c>
      <c r="H290" t="inlineStr">
        <is>
          <t>Sveaskog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45686</v>
      </c>
      <c r="E291" s="1" t="n">
        <v>46231</v>
      </c>
      <c r="F291" t="inlineStr">
        <is>
          <t>SKÅNE LÄN</t>
        </is>
      </c>
      <c r="G291" t="inlineStr">
        <is>
          <t>ÖSTRA GÖINGE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46231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23596-2026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46163</v>
      </c>
      <c r="E293" s="1" t="n">
        <v>46231</v>
      </c>
      <c r="F293" t="inlineStr">
        <is>
          <t>SKÅNE LÄN</t>
        </is>
      </c>
      <c r="G293" t="inlineStr">
        <is>
          <t>ÖSTRA GÖINGE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46231</v>
      </c>
      <c r="F294" t="inlineStr">
        <is>
          <t>SKÅNE LÄN</t>
        </is>
      </c>
      <c r="G294" t="inlineStr">
        <is>
          <t>ÖSTRA GÖINGE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45138</v>
      </c>
      <c r="E295" s="1" t="n">
        <v>46231</v>
      </c>
      <c r="F295" t="inlineStr">
        <is>
          <t>SKÅNE LÄN</t>
        </is>
      </c>
      <c r="G295" t="inlineStr">
        <is>
          <t>ÖSTRA GÖINGE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46231</v>
      </c>
      <c r="F296" t="inlineStr">
        <is>
          <t>SKÅNE LÄN</t>
        </is>
      </c>
      <c r="G296" t="inlineStr">
        <is>
          <t>ÖSTRA GÖINGE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46231</v>
      </c>
      <c r="F297" t="inlineStr">
        <is>
          <t>SKÅNE LÄN</t>
        </is>
      </c>
      <c r="G297" t="inlineStr">
        <is>
          <t>ÖSTRA GÖINGE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30111-2026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46206</v>
      </c>
      <c r="E298" s="1" t="n">
        <v>46231</v>
      </c>
      <c r="F298" t="inlineStr">
        <is>
          <t>SKÅNE LÄN</t>
        </is>
      </c>
      <c r="G298" t="inlineStr">
        <is>
          <t>ÖSTRA GÖINGE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46205</v>
      </c>
      <c r="E299" s="1" t="n">
        <v>46231</v>
      </c>
      <c r="F299" t="inlineStr">
        <is>
          <t>SKÅNE LÄN</t>
        </is>
      </c>
      <c r="G299" t="inlineStr">
        <is>
          <t>ÖSTRA GÖINGE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46231</v>
      </c>
      <c r="F300" t="inlineStr">
        <is>
          <t>SKÅNE LÄN</t>
        </is>
      </c>
      <c r="G300" t="inlineStr">
        <is>
          <t>ÖSTRA GÖINGE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46231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69387-2021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44531</v>
      </c>
      <c r="E302" s="1" t="n">
        <v>46231</v>
      </c>
      <c r="F302" t="inlineStr">
        <is>
          <t>SKÅNE LÄN</t>
        </is>
      </c>
      <c r="G302" t="inlineStr">
        <is>
          <t>ÖSTRA GÖINGE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46231</v>
      </c>
      <c r="F303" t="inlineStr">
        <is>
          <t>SKÅNE LÄN</t>
        </is>
      </c>
      <c r="G303" t="inlineStr">
        <is>
          <t>ÖSTRA GÖINGE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45636</v>
      </c>
      <c r="E304" s="1" t="n">
        <v>46231</v>
      </c>
      <c r="F304" t="inlineStr">
        <is>
          <t>SKÅNE LÄN</t>
        </is>
      </c>
      <c r="G304" t="inlineStr">
        <is>
          <t>ÖSTRA GÖINGE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48621-2023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46231</v>
      </c>
      <c r="F305" t="inlineStr">
        <is>
          <t>SKÅNE LÄN</t>
        </is>
      </c>
      <c r="G305" t="inlineStr">
        <is>
          <t>ÖSTRA GÖINGE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37588-2024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45541</v>
      </c>
      <c r="E306" s="1" t="n">
        <v>46231</v>
      </c>
      <c r="F306" t="inlineStr">
        <is>
          <t>SKÅNE LÄN</t>
        </is>
      </c>
      <c r="G306" t="inlineStr">
        <is>
          <t>ÖSTRA GÖINGE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46231</v>
      </c>
      <c r="F307" t="inlineStr">
        <is>
          <t>SKÅNE LÄN</t>
        </is>
      </c>
      <c r="G307" t="inlineStr">
        <is>
          <t>ÖSTRA GÖINGE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46279-2024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45581</v>
      </c>
      <c r="E308" s="1" t="n">
        <v>46231</v>
      </c>
      <c r="F308" t="inlineStr">
        <is>
          <t>SKÅNE LÄN</t>
        </is>
      </c>
      <c r="G308" t="inlineStr">
        <is>
          <t>ÖSTRA GÖINGE</t>
        </is>
      </c>
      <c r="H308" t="inlineStr">
        <is>
          <t>Sveaskog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45321</v>
      </c>
      <c r="E309" s="1" t="n">
        <v>46231</v>
      </c>
      <c r="F309" t="inlineStr">
        <is>
          <t>SKÅNE LÄN</t>
        </is>
      </c>
      <c r="G309" t="inlineStr">
        <is>
          <t>ÖSTRA GÖINGE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3445-2022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44585</v>
      </c>
      <c r="E310" s="1" t="n">
        <v>46231</v>
      </c>
      <c r="F310" t="inlineStr">
        <is>
          <t>SKÅNE LÄN</t>
        </is>
      </c>
      <c r="G310" t="inlineStr">
        <is>
          <t>ÖSTRA GÖINGE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46231</v>
      </c>
      <c r="F311" t="inlineStr">
        <is>
          <t>SKÅNE LÄN</t>
        </is>
      </c>
      <c r="G311" t="inlineStr">
        <is>
          <t>ÖSTRA GÖINGE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46231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45645</v>
      </c>
      <c r="E313" s="1" t="n">
        <v>46231</v>
      </c>
      <c r="F313" t="inlineStr">
        <is>
          <t>SKÅNE LÄN</t>
        </is>
      </c>
      <c r="G313" t="inlineStr">
        <is>
          <t>ÖSTRA GÖINGE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43660-2024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45569</v>
      </c>
      <c r="E314" s="1" t="n">
        <v>46231</v>
      </c>
      <c r="F314" t="inlineStr">
        <is>
          <t>SKÅNE LÄN</t>
        </is>
      </c>
      <c r="G314" t="inlineStr">
        <is>
          <t>ÖSTRA GÖINGE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45686</v>
      </c>
      <c r="E315" s="1" t="n">
        <v>46231</v>
      </c>
      <c r="F315" t="inlineStr">
        <is>
          <t>SKÅNE LÄN</t>
        </is>
      </c>
      <c r="G315" t="inlineStr">
        <is>
          <t>ÖSTRA GÖINGE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44623</v>
      </c>
      <c r="E316" s="1" t="n">
        <v>46231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46231</v>
      </c>
      <c r="F317" t="inlineStr">
        <is>
          <t>SKÅNE LÄN</t>
        </is>
      </c>
      <c r="G317" t="inlineStr">
        <is>
          <t>ÖSTRA GÖINGE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46231</v>
      </c>
      <c r="F318" t="inlineStr">
        <is>
          <t>SKÅNE LÄN</t>
        </is>
      </c>
      <c r="G318" t="inlineStr">
        <is>
          <t>ÖSTRA GÖINGE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45076</v>
      </c>
      <c r="E319" s="1" t="n">
        <v>46231</v>
      </c>
      <c r="F319" t="inlineStr">
        <is>
          <t>SKÅNE LÄN</t>
        </is>
      </c>
      <c r="G319" t="inlineStr">
        <is>
          <t>ÖSTRA GÖINGE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45076</v>
      </c>
      <c r="E320" s="1" t="n">
        <v>46231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45172</v>
      </c>
      <c r="E321" s="1" t="n">
        <v>46231</v>
      </c>
      <c r="F321" t="inlineStr">
        <is>
          <t>SKÅNE LÄN</t>
        </is>
      </c>
      <c r="G321" t="inlineStr">
        <is>
          <t>ÖSTRA GÖINGE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54746-2025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46231</v>
      </c>
      <c r="F322" t="inlineStr">
        <is>
          <t>SKÅNE LÄN</t>
        </is>
      </c>
      <c r="G322" t="inlineStr">
        <is>
          <t>ÖSTRA GÖINGE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46231</v>
      </c>
      <c r="F323" t="inlineStr">
        <is>
          <t>SKÅNE LÄN</t>
        </is>
      </c>
      <c r="G323" t="inlineStr">
        <is>
          <t>ÖSTRA GÖINGE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46231</v>
      </c>
      <c r="F324" t="inlineStr">
        <is>
          <t>SKÅNE LÄN</t>
        </is>
      </c>
      <c r="G324" t="inlineStr">
        <is>
          <t>ÖSTRA GÖINGE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46076</v>
      </c>
      <c r="E325" s="1" t="n">
        <v>46231</v>
      </c>
      <c r="F325" t="inlineStr">
        <is>
          <t>SKÅNE LÄN</t>
        </is>
      </c>
      <c r="G325" t="inlineStr">
        <is>
          <t>ÖSTRA GÖINGE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25389-2026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46231</v>
      </c>
      <c r="F326" t="inlineStr">
        <is>
          <t>SKÅNE LÄN</t>
        </is>
      </c>
      <c r="G326" t="inlineStr">
        <is>
          <t>ÖSTRA GÖINGE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42192-2023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45179</v>
      </c>
      <c r="E327" s="1" t="n">
        <v>46231</v>
      </c>
      <c r="F327" t="inlineStr">
        <is>
          <t>SKÅNE LÄN</t>
        </is>
      </c>
      <c r="G327" t="inlineStr">
        <is>
          <t>ÖSTRA GÖINGE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45147</v>
      </c>
      <c r="E328" s="1" t="n">
        <v>46231</v>
      </c>
      <c r="F328" t="inlineStr">
        <is>
          <t>SKÅNE LÄN</t>
        </is>
      </c>
      <c r="G328" t="inlineStr">
        <is>
          <t>ÖSTRA GÖINGE</t>
        </is>
      </c>
      <c r="I328" t="n">
        <v>15.4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45970</v>
      </c>
      <c r="E329" s="1" t="n">
        <v>46231</v>
      </c>
      <c r="F329" t="inlineStr">
        <is>
          <t>SKÅNE LÄN</t>
        </is>
      </c>
      <c r="G329" t="inlineStr">
        <is>
          <t>ÖSTRA GÖINGE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46231</v>
      </c>
      <c r="F330" t="inlineStr">
        <is>
          <t>SKÅNE LÄN</t>
        </is>
      </c>
      <c r="G330" t="inlineStr">
        <is>
          <t>ÖSTRA GÖINGE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45972</v>
      </c>
      <c r="E331" s="1" t="n">
        <v>46231</v>
      </c>
      <c r="F331" t="inlineStr">
        <is>
          <t>SKÅNE LÄN</t>
        </is>
      </c>
      <c r="G331" t="inlineStr">
        <is>
          <t>ÖSTRA GÖINGE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46231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46231</v>
      </c>
      <c r="F333" t="inlineStr">
        <is>
          <t>SKÅNE LÄN</t>
        </is>
      </c>
      <c r="G333" t="inlineStr">
        <is>
          <t>ÖSTRA GÖINGE</t>
        </is>
      </c>
      <c r="H333" t="inlineStr">
        <is>
          <t>Sveaskog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46231</v>
      </c>
      <c r="F334" t="inlineStr">
        <is>
          <t>SKÅNE LÄN</t>
        </is>
      </c>
      <c r="G334" t="inlineStr">
        <is>
          <t>ÖSTRA GÖINGE</t>
        </is>
      </c>
      <c r="H334" t="inlineStr">
        <is>
          <t>Sveaskog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45685</v>
      </c>
      <c r="E335" s="1" t="n">
        <v>46231</v>
      </c>
      <c r="F335" t="inlineStr">
        <is>
          <t>SKÅNE LÄN</t>
        </is>
      </c>
      <c r="G335" t="inlineStr">
        <is>
          <t>ÖSTRA GÖINGE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45685</v>
      </c>
      <c r="E336" s="1" t="n">
        <v>46231</v>
      </c>
      <c r="F336" t="inlineStr">
        <is>
          <t>SKÅNE LÄN</t>
        </is>
      </c>
      <c r="G336" t="inlineStr">
        <is>
          <t>ÖSTRA GÖINGE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45972</v>
      </c>
      <c r="E337" s="1" t="n">
        <v>46231</v>
      </c>
      <c r="F337" t="inlineStr">
        <is>
          <t>SKÅNE LÄN</t>
        </is>
      </c>
      <c r="G337" t="inlineStr">
        <is>
          <t>ÖSTRA GÖINGE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46231</v>
      </c>
      <c r="F338" t="inlineStr">
        <is>
          <t>SKÅNE LÄN</t>
        </is>
      </c>
      <c r="G338" t="inlineStr">
        <is>
          <t>ÖSTRA GÖINGE</t>
        </is>
      </c>
      <c r="H338" t="inlineStr">
        <is>
          <t>Sveaskog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46231</v>
      </c>
      <c r="F339" t="inlineStr">
        <is>
          <t>SKÅNE LÄN</t>
        </is>
      </c>
      <c r="G339" t="inlineStr">
        <is>
          <t>ÖSTRA GÖINGE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45774</v>
      </c>
      <c r="E340" s="1" t="n">
        <v>46231</v>
      </c>
      <c r="F340" t="inlineStr">
        <is>
          <t>SKÅNE LÄN</t>
        </is>
      </c>
      <c r="G340" t="inlineStr">
        <is>
          <t>ÖSTRA GÖINGE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46231</v>
      </c>
      <c r="F341" t="inlineStr">
        <is>
          <t>SKÅNE LÄN</t>
        </is>
      </c>
      <c r="G341" t="inlineStr">
        <is>
          <t>ÖSTRA GÖINGE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46231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46231</v>
      </c>
      <c r="F343" t="inlineStr">
        <is>
          <t>SKÅNE LÄN</t>
        </is>
      </c>
      <c r="G343" t="inlineStr">
        <is>
          <t>ÖSTRA GÖINGE</t>
        </is>
      </c>
      <c r="I343" t="n">
        <v>34.5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46231</v>
      </c>
      <c r="F344" t="inlineStr">
        <is>
          <t>SKÅNE LÄN</t>
        </is>
      </c>
      <c r="G344" t="inlineStr">
        <is>
          <t>ÖSTRA GÖINGE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46231</v>
      </c>
      <c r="F345" t="inlineStr">
        <is>
          <t>SKÅNE LÄN</t>
        </is>
      </c>
      <c r="G345" t="inlineStr">
        <is>
          <t>ÖSTRA GÖINGE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46231</v>
      </c>
      <c r="F346" t="inlineStr">
        <is>
          <t>SKÅNE LÄN</t>
        </is>
      </c>
      <c r="G346" t="inlineStr">
        <is>
          <t>ÖSTRA GÖINGE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46183</v>
      </c>
      <c r="E347" s="1" t="n">
        <v>46231</v>
      </c>
      <c r="F347" t="inlineStr">
        <is>
          <t>SKÅNE LÄN</t>
        </is>
      </c>
      <c r="G347" t="inlineStr">
        <is>
          <t>ÖSTRA GÖINGE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44686</v>
      </c>
      <c r="E348" s="1" t="n">
        <v>46231</v>
      </c>
      <c r="F348" t="inlineStr">
        <is>
          <t>SKÅNE LÄN</t>
        </is>
      </c>
      <c r="G348" t="inlineStr">
        <is>
          <t>ÖSTRA GÖINGE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27318-2022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44742</v>
      </c>
      <c r="E349" s="1" t="n">
        <v>46231</v>
      </c>
      <c r="F349" t="inlineStr">
        <is>
          <t>SKÅNE LÄN</t>
        </is>
      </c>
      <c r="G349" t="inlineStr">
        <is>
          <t>ÖSTRA GÖINGE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47405-2022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44853</v>
      </c>
      <c r="E350" s="1" t="n">
        <v>46231</v>
      </c>
      <c r="F350" t="inlineStr">
        <is>
          <t>SKÅNE LÄN</t>
        </is>
      </c>
      <c r="G350" t="inlineStr">
        <is>
          <t>ÖSTRA GÖINGE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45198</v>
      </c>
      <c r="E351" s="1" t="n">
        <v>46231</v>
      </c>
      <c r="F351" t="inlineStr">
        <is>
          <t>SKÅNE LÄN</t>
        </is>
      </c>
      <c r="G351" t="inlineStr">
        <is>
          <t>ÖSTRA GÖINGE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32514-2023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46231</v>
      </c>
      <c r="F352" t="inlineStr">
        <is>
          <t>SKÅNE LÄN</t>
        </is>
      </c>
      <c r="G352" t="inlineStr">
        <is>
          <t>ÖSTRA GÖINGE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44725-2022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44840</v>
      </c>
      <c r="E353" s="1" t="n">
        <v>46231</v>
      </c>
      <c r="F353" t="inlineStr">
        <is>
          <t>SKÅNE LÄN</t>
        </is>
      </c>
      <c r="G353" t="inlineStr">
        <is>
          <t>ÖSTRA GÖINGE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46231</v>
      </c>
      <c r="F354" t="inlineStr">
        <is>
          <t>SKÅNE LÄN</t>
        </is>
      </c>
      <c r="G354" t="inlineStr">
        <is>
          <t>ÖSTRA GÖINGE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46231</v>
      </c>
      <c r="F355" t="inlineStr">
        <is>
          <t>SKÅNE LÄN</t>
        </is>
      </c>
      <c r="G355" t="inlineStr">
        <is>
          <t>ÖSTRA GÖINGE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45274</v>
      </c>
      <c r="E356" s="1" t="n">
        <v>46231</v>
      </c>
      <c r="F356" t="inlineStr">
        <is>
          <t>SKÅNE LÄN</t>
        </is>
      </c>
      <c r="G356" t="inlineStr">
        <is>
          <t>ÖSTRA GÖINGE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61096-2022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44915</v>
      </c>
      <c r="E357" s="1" t="n">
        <v>46231</v>
      </c>
      <c r="F357" t="inlineStr">
        <is>
          <t>SKÅNE LÄN</t>
        </is>
      </c>
      <c r="G357" t="inlineStr">
        <is>
          <t>ÖSTRA GÖINGE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46231</v>
      </c>
      <c r="F358" t="inlineStr">
        <is>
          <t>SKÅNE LÄN</t>
        </is>
      </c>
      <c r="G358" t="inlineStr">
        <is>
          <t>ÖSTRA GÖINGE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46231</v>
      </c>
      <c r="F359" t="inlineStr">
        <is>
          <t>SKÅNE LÄN</t>
        </is>
      </c>
      <c r="G359" t="inlineStr">
        <is>
          <t>ÖSTRA GÖINGE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45330</v>
      </c>
      <c r="E360" s="1" t="n">
        <v>46231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45349</v>
      </c>
      <c r="E361" s="1" t="n">
        <v>46231</v>
      </c>
      <c r="F361" t="inlineStr">
        <is>
          <t>SKÅNE LÄN</t>
        </is>
      </c>
      <c r="G361" t="inlineStr">
        <is>
          <t>ÖSTRA GÖINGE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57293-2023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45245</v>
      </c>
      <c r="E362" s="1" t="n">
        <v>46231</v>
      </c>
      <c r="F362" t="inlineStr">
        <is>
          <t>SKÅNE LÄN</t>
        </is>
      </c>
      <c r="G362" t="inlineStr">
        <is>
          <t>ÖSTRA GÖINGE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46231</v>
      </c>
      <c r="F363" t="inlineStr">
        <is>
          <t>SKÅNE LÄN</t>
        </is>
      </c>
      <c r="G363" t="inlineStr">
        <is>
          <t>ÖSTRA GÖINGE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24028-2022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44723</v>
      </c>
      <c r="E364" s="1" t="n">
        <v>46231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45321</v>
      </c>
      <c r="E365" s="1" t="n">
        <v>46231</v>
      </c>
      <c r="F365" t="inlineStr">
        <is>
          <t>SKÅNE LÄN</t>
        </is>
      </c>
      <c r="G365" t="inlineStr">
        <is>
          <t>ÖSTRA GÖINGE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45310</v>
      </c>
      <c r="E366" s="1" t="n">
        <v>46231</v>
      </c>
      <c r="F366" t="inlineStr">
        <is>
          <t>SKÅNE LÄN</t>
        </is>
      </c>
      <c r="G366" t="inlineStr">
        <is>
          <t>ÖSTRA GÖINGE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44935</v>
      </c>
      <c r="E367" s="1" t="n">
        <v>46231</v>
      </c>
      <c r="F367" t="inlineStr">
        <is>
          <t>SKÅNE LÄN</t>
        </is>
      </c>
      <c r="G367" t="inlineStr">
        <is>
          <t>ÖSTRA GÖINGE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45259</v>
      </c>
      <c r="E368" s="1" t="n">
        <v>46231</v>
      </c>
      <c r="F368" t="inlineStr">
        <is>
          <t>SKÅNE LÄN</t>
        </is>
      </c>
      <c r="G368" t="inlineStr">
        <is>
          <t>ÖSTRA GÖINGE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71747-2021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44539</v>
      </c>
      <c r="E369" s="1" t="n">
        <v>46231</v>
      </c>
      <c r="F369" t="inlineStr">
        <is>
          <t>SKÅNE LÄN</t>
        </is>
      </c>
      <c r="G369" t="inlineStr">
        <is>
          <t>ÖSTRA GÖINGE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63167-2023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45273</v>
      </c>
      <c r="E370" s="1" t="n">
        <v>46231</v>
      </c>
      <c r="F370" t="inlineStr">
        <is>
          <t>SKÅNE LÄN</t>
        </is>
      </c>
      <c r="G370" t="inlineStr">
        <is>
          <t>ÖSTRA GÖINGE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44937</v>
      </c>
      <c r="E371" s="1" t="n">
        <v>46231</v>
      </c>
      <c r="F371" t="inlineStr">
        <is>
          <t>SKÅNE LÄN</t>
        </is>
      </c>
      <c r="G371" t="inlineStr">
        <is>
          <t>ÖSTRA GÖINGE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45567</v>
      </c>
      <c r="E372" s="1" t="n">
        <v>46231</v>
      </c>
      <c r="F372" t="inlineStr">
        <is>
          <t>SKÅNE LÄN</t>
        </is>
      </c>
      <c r="G372" t="inlineStr">
        <is>
          <t>ÖSTRA GÖINGE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34924-2022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44796</v>
      </c>
      <c r="E373" s="1" t="n">
        <v>46231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64181-2023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45279</v>
      </c>
      <c r="E374" s="1" t="n">
        <v>46231</v>
      </c>
      <c r="F374" t="inlineStr">
        <is>
          <t>SKÅNE LÄN</t>
        </is>
      </c>
      <c r="G374" t="inlineStr">
        <is>
          <t>ÖSTRA GÖINGE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63154-2025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46231</v>
      </c>
      <c r="F375" t="inlineStr">
        <is>
          <t>SKÅNE LÄN</t>
        </is>
      </c>
      <c r="G375" t="inlineStr">
        <is>
          <t>ÖSTRA GÖINGE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66526-2021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44519</v>
      </c>
      <c r="E376" s="1" t="n">
        <v>46231</v>
      </c>
      <c r="F376" t="inlineStr">
        <is>
          <t>SKÅNE LÄN</t>
        </is>
      </c>
      <c r="G376" t="inlineStr">
        <is>
          <t>ÖSTRA GÖINGE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44606</v>
      </c>
      <c r="E377" s="1" t="n">
        <v>46231</v>
      </c>
      <c r="F377" t="inlineStr">
        <is>
          <t>SKÅNE LÄN</t>
        </is>
      </c>
      <c r="G377" t="inlineStr">
        <is>
          <t>ÖSTRA GÖINGE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44897</v>
      </c>
      <c r="E378" s="1" t="n">
        <v>46231</v>
      </c>
      <c r="F378" t="inlineStr">
        <is>
          <t>SKÅNE LÄN</t>
        </is>
      </c>
      <c r="G378" t="inlineStr">
        <is>
          <t>ÖSTRA GÖINGE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44852</v>
      </c>
      <c r="E379" s="1" t="n">
        <v>46231</v>
      </c>
      <c r="F379" t="inlineStr">
        <is>
          <t>SKÅNE LÄN</t>
        </is>
      </c>
      <c r="G379" t="inlineStr">
        <is>
          <t>ÖSTRA GÖINGE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44593</v>
      </c>
      <c r="E380" s="1" t="n">
        <v>46231</v>
      </c>
      <c r="F380" t="inlineStr">
        <is>
          <t>SKÅNE LÄN</t>
        </is>
      </c>
      <c r="G380" t="inlineStr">
        <is>
          <t>ÖSTRA GÖINGE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45475</v>
      </c>
      <c r="E381" s="1" t="n">
        <v>46231</v>
      </c>
      <c r="F381" t="inlineStr">
        <is>
          <t>SKÅNE LÄN</t>
        </is>
      </c>
      <c r="G381" t="inlineStr">
        <is>
          <t>ÖSTRA GÖINGE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44627</v>
      </c>
      <c r="E382" s="1" t="n">
        <v>46231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44946</v>
      </c>
      <c r="E383" s="1" t="n">
        <v>46231</v>
      </c>
      <c r="F383" t="inlineStr">
        <is>
          <t>SKÅNE LÄN</t>
        </is>
      </c>
      <c r="G383" t="inlineStr">
        <is>
          <t>ÖSTRA GÖINGE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46231</v>
      </c>
      <c r="F384" t="inlineStr">
        <is>
          <t>SKÅNE LÄN</t>
        </is>
      </c>
      <c r="G384" t="inlineStr">
        <is>
          <t>ÖSTRA GÖINGE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45188</v>
      </c>
      <c r="E385" s="1" t="n">
        <v>46231</v>
      </c>
      <c r="F385" t="inlineStr">
        <is>
          <t>SKÅNE LÄN</t>
        </is>
      </c>
      <c r="G385" t="inlineStr">
        <is>
          <t>ÖSTRA GÖINGE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45141</v>
      </c>
      <c r="E386" s="1" t="n">
        <v>46231</v>
      </c>
      <c r="F386" t="inlineStr">
        <is>
          <t>SKÅNE LÄN</t>
        </is>
      </c>
      <c r="G386" t="inlineStr">
        <is>
          <t>ÖSTRA GÖINGE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6782-2022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44602</v>
      </c>
      <c r="E387" s="1" t="n">
        <v>46231</v>
      </c>
      <c r="F387" t="inlineStr">
        <is>
          <t>SKÅNE LÄN</t>
        </is>
      </c>
      <c r="G387" t="inlineStr">
        <is>
          <t>ÖSTRA GÖINGE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46231</v>
      </c>
      <c r="F388" t="inlineStr">
        <is>
          <t>SKÅNE LÄN</t>
        </is>
      </c>
      <c r="G388" t="inlineStr">
        <is>
          <t>ÖSTRA GÖINGE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46231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37559-2024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46231</v>
      </c>
      <c r="F390" t="inlineStr">
        <is>
          <t>SKÅNE LÄN</t>
        </is>
      </c>
      <c r="G390" t="inlineStr">
        <is>
          <t>ÖSTRA GÖINGE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43401-2024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45568</v>
      </c>
      <c r="E391" s="1" t="n">
        <v>46231</v>
      </c>
      <c r="F391" t="inlineStr">
        <is>
          <t>SKÅNE LÄN</t>
        </is>
      </c>
      <c r="G391" t="inlineStr">
        <is>
          <t>ÖSTRA GÖINGE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44873</v>
      </c>
      <c r="E392" s="1" t="n">
        <v>46231</v>
      </c>
      <c r="F392" t="inlineStr">
        <is>
          <t>SKÅNE LÄN</t>
        </is>
      </c>
      <c r="G392" t="inlineStr">
        <is>
          <t>ÖSTRA GÖINGE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45147</v>
      </c>
      <c r="E393" s="1" t="n">
        <v>46231</v>
      </c>
      <c r="F393" t="inlineStr">
        <is>
          <t>SKÅNE LÄN</t>
        </is>
      </c>
      <c r="G393" t="inlineStr">
        <is>
          <t>ÖSTRA GÖINGE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45180</v>
      </c>
      <c r="E394" s="1" t="n">
        <v>46231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45758</v>
      </c>
      <c r="E395" s="1" t="n">
        <v>46231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46231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45076</v>
      </c>
      <c r="E397" s="1" t="n">
        <v>46231</v>
      </c>
      <c r="F397" t="inlineStr">
        <is>
          <t>SKÅNE LÄN</t>
        </is>
      </c>
      <c r="G397" t="inlineStr">
        <is>
          <t>ÖSTRA GÖINGE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45320</v>
      </c>
      <c r="E398" s="1" t="n">
        <v>46231</v>
      </c>
      <c r="F398" t="inlineStr">
        <is>
          <t>SKÅNE LÄN</t>
        </is>
      </c>
      <c r="G398" t="inlineStr">
        <is>
          <t>ÖSTRA GÖINGE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46231</v>
      </c>
      <c r="F399" t="inlineStr">
        <is>
          <t>SKÅNE LÄN</t>
        </is>
      </c>
      <c r="G399" t="inlineStr">
        <is>
          <t>ÖSTRA GÖINGE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45210</v>
      </c>
      <c r="E400" s="1" t="n">
        <v>46231</v>
      </c>
      <c r="F400" t="inlineStr">
        <is>
          <t>SKÅNE LÄN</t>
        </is>
      </c>
      <c r="G400" t="inlineStr">
        <is>
          <t>ÖSTRA GÖINGE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35552-2023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45146</v>
      </c>
      <c r="E401" s="1" t="n">
        <v>46231</v>
      </c>
      <c r="F401" t="inlineStr">
        <is>
          <t>SKÅNE LÄN</t>
        </is>
      </c>
      <c r="G401" t="inlineStr">
        <is>
          <t>ÖSTRA GÖINGE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45029</v>
      </c>
      <c r="E402" s="1" t="n">
        <v>46231</v>
      </c>
      <c r="F402" t="inlineStr">
        <is>
          <t>SKÅNE LÄN</t>
        </is>
      </c>
      <c r="G402" t="inlineStr">
        <is>
          <t>ÖSTRA GÖINGE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52522-2021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44466</v>
      </c>
      <c r="E403" s="1" t="n">
        <v>46231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37550-2024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45541</v>
      </c>
      <c r="E404" s="1" t="n">
        <v>46231</v>
      </c>
      <c r="F404" t="inlineStr">
        <is>
          <t>SKÅNE LÄN</t>
        </is>
      </c>
      <c r="G404" t="inlineStr">
        <is>
          <t>ÖSTRA GÖINGE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46231</v>
      </c>
      <c r="F405" t="inlineStr">
        <is>
          <t>SKÅNE LÄN</t>
        </is>
      </c>
      <c r="G405" t="inlineStr">
        <is>
          <t>ÖSTRA GÖINGE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45735</v>
      </c>
      <c r="E406" s="1" t="n">
        <v>46231</v>
      </c>
      <c r="F406" t="inlineStr">
        <is>
          <t>SKÅNE LÄN</t>
        </is>
      </c>
      <c r="G406" t="inlineStr">
        <is>
          <t>ÖSTRA GÖINGE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15993-2024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45405</v>
      </c>
      <c r="E407" s="1" t="n">
        <v>46231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46231</v>
      </c>
      <c r="F408" t="inlineStr">
        <is>
          <t>SKÅNE LÄN</t>
        </is>
      </c>
      <c r="G408" t="inlineStr">
        <is>
          <t>ÖSTRA GÖINGE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45254</v>
      </c>
      <c r="E409" s="1" t="n">
        <v>46231</v>
      </c>
      <c r="F409" t="inlineStr">
        <is>
          <t>SKÅNE LÄN</t>
        </is>
      </c>
      <c r="G409" t="inlineStr">
        <is>
          <t>ÖSTRA GÖINGE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44977</v>
      </c>
      <c r="E410" s="1" t="n">
        <v>46231</v>
      </c>
      <c r="F410" t="inlineStr">
        <is>
          <t>SKÅNE LÄN</t>
        </is>
      </c>
      <c r="G410" t="inlineStr">
        <is>
          <t>ÖSTRA GÖINGE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15688-2023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45021</v>
      </c>
      <c r="E411" s="1" t="n">
        <v>46231</v>
      </c>
      <c r="F411" t="inlineStr">
        <is>
          <t>SKÅNE LÄN</t>
        </is>
      </c>
      <c r="G411" t="inlineStr">
        <is>
          <t>ÖSTRA GÖINGE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46231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46231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46231</v>
      </c>
      <c r="F414" t="inlineStr">
        <is>
          <t>SKÅNE LÄN</t>
        </is>
      </c>
      <c r="G414" t="inlineStr">
        <is>
          <t>ÖSTRA GÖINGE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46231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45765</v>
      </c>
      <c r="E416" s="1" t="n">
        <v>46231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11631-2024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45373</v>
      </c>
      <c r="E417" s="1" t="n">
        <v>46231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46231</v>
      </c>
      <c r="F418" t="inlineStr">
        <is>
          <t>SKÅNE LÄN</t>
        </is>
      </c>
      <c r="G418" t="inlineStr">
        <is>
          <t>ÖSTRA GÖINGE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27322-2022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46231</v>
      </c>
      <c r="F419" t="inlineStr">
        <is>
          <t>SKÅNE LÄN</t>
        </is>
      </c>
      <c r="G419" t="inlineStr">
        <is>
          <t>ÖSTRA GÖINGE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46231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48408-2023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46231</v>
      </c>
      <c r="F421" t="inlineStr">
        <is>
          <t>SKÅNE LÄN</t>
        </is>
      </c>
      <c r="G421" t="inlineStr">
        <is>
          <t>ÖSTRA GÖINGE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44593</v>
      </c>
      <c r="E422" s="1" t="n">
        <v>46231</v>
      </c>
      <c r="F422" t="inlineStr">
        <is>
          <t>SKÅNE LÄN</t>
        </is>
      </c>
      <c r="G422" t="inlineStr">
        <is>
          <t>ÖSTRA GÖINGE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58279-2024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46231</v>
      </c>
      <c r="F423" t="inlineStr">
        <is>
          <t>SKÅNE LÄN</t>
        </is>
      </c>
      <c r="G423" t="inlineStr">
        <is>
          <t>ÖSTRA GÖINGE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22095-2024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46231</v>
      </c>
      <c r="F424" t="inlineStr">
        <is>
          <t>SKÅNE LÄN</t>
        </is>
      </c>
      <c r="G424" t="inlineStr">
        <is>
          <t>ÖSTRA GÖINGE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45307</v>
      </c>
      <c r="E425" s="1" t="n">
        <v>46231</v>
      </c>
      <c r="F425" t="inlineStr">
        <is>
          <t>SKÅNE LÄN</t>
        </is>
      </c>
      <c r="G425" t="inlineStr">
        <is>
          <t>ÖSTRA GÖINGE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45680</v>
      </c>
      <c r="E426" s="1" t="n">
        <v>46231</v>
      </c>
      <c r="F426" t="inlineStr">
        <is>
          <t>SKÅNE LÄN</t>
        </is>
      </c>
      <c r="G426" t="inlineStr">
        <is>
          <t>ÖSTRA GÖINGE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44428</v>
      </c>
      <c r="E427" s="1" t="n">
        <v>46231</v>
      </c>
      <c r="F427" t="inlineStr">
        <is>
          <t>SKÅNE LÄN</t>
        </is>
      </c>
      <c r="G427" t="inlineStr">
        <is>
          <t>ÖSTRA GÖINGE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46231</v>
      </c>
      <c r="F428" t="inlineStr">
        <is>
          <t>SKÅNE LÄN</t>
        </is>
      </c>
      <c r="G428" t="inlineStr">
        <is>
          <t>ÖSTRA GÖINGE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45203</v>
      </c>
      <c r="E429" s="1" t="n">
        <v>46231</v>
      </c>
      <c r="F429" t="inlineStr">
        <is>
          <t>SKÅNE LÄN</t>
        </is>
      </c>
      <c r="G429" t="inlineStr">
        <is>
          <t>ÖSTRA GÖINGE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46231</v>
      </c>
      <c r="F430" t="inlineStr">
        <is>
          <t>SKÅNE LÄN</t>
        </is>
      </c>
      <c r="G430" t="inlineStr">
        <is>
          <t>ÖSTRA GÖINGE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46231</v>
      </c>
      <c r="F431" t="inlineStr">
        <is>
          <t>SKÅNE LÄN</t>
        </is>
      </c>
      <c r="G431" t="inlineStr">
        <is>
          <t>ÖSTRA GÖINGE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42313-2024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45562</v>
      </c>
      <c r="E432" s="1" t="n">
        <v>46231</v>
      </c>
      <c r="F432" t="inlineStr">
        <is>
          <t>SKÅNE LÄN</t>
        </is>
      </c>
      <c r="G432" t="inlineStr">
        <is>
          <t>ÖSTRA GÖINGE</t>
        </is>
      </c>
      <c r="H432" t="inlineStr">
        <is>
          <t>Sveaskog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41777-2023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45176</v>
      </c>
      <c r="E433" s="1" t="n">
        <v>46231</v>
      </c>
      <c r="F433" t="inlineStr">
        <is>
          <t>SKÅNE LÄN</t>
        </is>
      </c>
      <c r="G433" t="inlineStr">
        <is>
          <t>ÖSTRA GÖINGE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58518-2024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46231</v>
      </c>
      <c r="F434" t="inlineStr">
        <is>
          <t>SKÅNE LÄN</t>
        </is>
      </c>
      <c r="G434" t="inlineStr">
        <is>
          <t>ÖSTRA GÖINGE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45184</v>
      </c>
      <c r="E435" s="1" t="n">
        <v>46231</v>
      </c>
      <c r="F435" t="inlineStr">
        <is>
          <t>SKÅNE LÄN</t>
        </is>
      </c>
      <c r="G435" t="inlineStr">
        <is>
          <t>ÖSTRA GÖINGE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36963-2024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46231</v>
      </c>
      <c r="F436" t="inlineStr">
        <is>
          <t>SKÅNE LÄN</t>
        </is>
      </c>
      <c r="G436" t="inlineStr">
        <is>
          <t>ÖSTRA GÖINGE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45489</v>
      </c>
      <c r="E437" s="1" t="n">
        <v>46231</v>
      </c>
      <c r="F437" t="inlineStr">
        <is>
          <t>SKÅNE LÄN</t>
        </is>
      </c>
      <c r="G437" t="inlineStr">
        <is>
          <t>ÖSTRA GÖINGE</t>
        </is>
      </c>
      <c r="I437" t="n">
        <v>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45638</v>
      </c>
      <c r="E438" s="1" t="n">
        <v>46231</v>
      </c>
      <c r="F438" t="inlineStr">
        <is>
          <t>SKÅNE LÄN</t>
        </is>
      </c>
      <c r="G438" t="inlineStr">
        <is>
          <t>ÖSTRA GÖINGE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45706</v>
      </c>
      <c r="E439" s="1" t="n">
        <v>46231</v>
      </c>
      <c r="F439" t="inlineStr">
        <is>
          <t>SKÅNE LÄN</t>
        </is>
      </c>
      <c r="G439" t="inlineStr">
        <is>
          <t>ÖSTRA GÖINGE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45022</v>
      </c>
      <c r="E440" s="1" t="n">
        <v>46231</v>
      </c>
      <c r="F440" t="inlineStr">
        <is>
          <t>SKÅNE LÄN</t>
        </is>
      </c>
      <c r="G440" t="inlineStr">
        <is>
          <t>ÖSTRA GÖINGE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42373-2024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45564</v>
      </c>
      <c r="E441" s="1" t="n">
        <v>46231</v>
      </c>
      <c r="F441" t="inlineStr">
        <is>
          <t>SKÅNE LÄN</t>
        </is>
      </c>
      <c r="G441" t="inlineStr">
        <is>
          <t>ÖSTRA GÖINGE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46231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46231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46231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46231</v>
      </c>
      <c r="F445" t="inlineStr">
        <is>
          <t>SKÅNE LÄN</t>
        </is>
      </c>
      <c r="G445" t="inlineStr">
        <is>
          <t>ÖSTRA GÖINGE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45797</v>
      </c>
      <c r="E446" s="1" t="n">
        <v>46231</v>
      </c>
      <c r="F446" t="inlineStr">
        <is>
          <t>SKÅNE LÄN</t>
        </is>
      </c>
      <c r="G446" t="inlineStr">
        <is>
          <t>ÖSTRA GÖINGE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46231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46231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46231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46231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46231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46231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46231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46231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46231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46231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46231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46231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46231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46231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46231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46231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46231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46231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46231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46231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46231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46231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46231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46231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46231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46231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46231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46231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46231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46231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46231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46231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46231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46231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46231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46231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46231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46231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46231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46231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46231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46231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2026-07-28T01:49:12Z</dcterms:created>
  <dcterms:modified xmlns:dcterms="http://purl.org/dc/terms/" xmlns:xsi="http://www.w3.org/2001/XMLSchema-instance" xsi:type="dcterms:W3CDTF">2026-07-28T01:49:12Z</dcterms:modified>
</cp:coreProperties>
</file>