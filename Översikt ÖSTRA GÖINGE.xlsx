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46326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46326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46326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44837-2026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46323</v>
      </c>
      <c r="E6" s="1" t="n">
        <v>46326</v>
      </c>
      <c r="F6" t="inlineStr">
        <is>
          <t>SKÅNE LÄN</t>
        </is>
      </c>
      <c r="G6" t="inlineStr">
        <is>
          <t>ÖSTRA GÖINGE</t>
        </is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6</v>
      </c>
      <c r="T6" t="n">
        <v>8</v>
      </c>
      <c r="U6" t="n">
        <v>8</v>
      </c>
      <c r="V6" s="2" t="inlineStr">
        <is>
          <t>Blanksvart trämyra
Glansfläck
Gulplister
Skärmstarr
Spillkråka
Tofsmes</t>
        </is>
      </c>
      <c r="W6">
        <f>HYPERLINK("https://klasma.github.io/Logging_1256/artfynd/A 44837-2026 artfynd.xlsx", "A 44837-2026")</f>
        <v/>
      </c>
      <c r="X6">
        <f>HYPERLINK("https://klasma.github.io/Logging_1256/kartor/A 44837-2026 karta.png", "A 44837-2026")</f>
        <v/>
      </c>
      <c r="Y6">
        <f>HYPERLINK("https://klasma.github.io/Logging_1256/kartor_geotiff/A 44837-2026 georefererad karta.tif", "A 44837-2026")</f>
        <v/>
      </c>
      <c r="AA6">
        <f>HYPERLINK("https://klasma.github.io/Logging_1256/klagomål/A 44837-2026 FSC-klagomål.docx", "A 44837-2026")</f>
        <v/>
      </c>
      <c r="AB6">
        <f>HYPERLINK("https://klasma.github.io/Logging_1256/klagomålsmail/A 44837-2026 FSC-klagomål mail.docx", "A 44837-2026")</f>
        <v/>
      </c>
      <c r="AC6">
        <f>HYPERLINK("https://klasma.github.io/Logging_1256/tillsyn/A 44837-2026 tillsynsbegäran.docx", "A 44837-2026")</f>
        <v/>
      </c>
      <c r="AD6">
        <f>HYPERLINK("https://klasma.github.io/Logging_1256/tillsynsmail/A 44837-2026 tillsynsbegäran mail.docx", "A 44837-2026")</f>
        <v/>
      </c>
      <c r="AE6">
        <f>HYPERLINK("https://klasma.github.io/Logging_1256/fåglar/A 44837-2026 prioriterade fågelarter.docx", "A 44837-2026")</f>
        <v/>
      </c>
    </row>
    <row r="7" ht="15" customHeight="1">
      <c r="A7" t="inlineStr">
        <is>
          <t>A 23847-2026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46167</v>
      </c>
      <c r="E7" s="1" t="n">
        <v>46326</v>
      </c>
      <c r="F7" t="inlineStr">
        <is>
          <t>SKÅNE LÄN</t>
        </is>
      </c>
      <c r="G7" t="inlineStr">
        <is>
          <t>ÖSTRA GÖINGE</t>
        </is>
      </c>
      <c r="I7" t="n">
        <v>2.5</v>
      </c>
      <c r="J7" t="n">
        <v>5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Barbastell
Nordfladdermus
Dvärgpipistrell
Röd glada
Större brunfladdermus</t>
        </is>
      </c>
      <c r="W7">
        <f>HYPERLINK("https://klasma.github.io/Logging_1256/artfynd/A 23847-2026 artfynd.xlsx", "A 23847-2026")</f>
        <v/>
      </c>
      <c r="X7">
        <f>HYPERLINK("https://klasma.github.io/Logging_1256/kartor/A 23847-2026 karta.png", "A 23847-2026")</f>
        <v/>
      </c>
      <c r="Y7">
        <f>HYPERLINK("https://klasma.github.io/Logging_1256/kartor_geotiff/A 23847-2026 georefererad karta.tif", "A 23847-2026")</f>
        <v/>
      </c>
      <c r="AA7">
        <f>HYPERLINK("https://klasma.github.io/Logging_1256/klagomål/A 23847-2026 FSC-klagomål.docx", "A 23847-2026")</f>
        <v/>
      </c>
      <c r="AB7">
        <f>HYPERLINK("https://klasma.github.io/Logging_1256/klagomålsmail/A 23847-2026 FSC-klagomål mail.docx", "A 23847-2026")</f>
        <v/>
      </c>
      <c r="AC7">
        <f>HYPERLINK("https://klasma.github.io/Logging_1256/tillsyn/A 23847-2026 tillsynsbegäran.docx", "A 23847-2026")</f>
        <v/>
      </c>
      <c r="AD7">
        <f>HYPERLINK("https://klasma.github.io/Logging_1256/tillsynsmail/A 23847-2026 tillsynsbegäran mail.docx", "A 23847-2026")</f>
        <v/>
      </c>
      <c r="AE7">
        <f>HYPERLINK("https://klasma.github.io/Logging_1256/fåglar/A 23847-2026 prioriterade fågelarter.docx", "A 23847-2026")</f>
        <v/>
      </c>
    </row>
    <row r="8" ht="15" customHeight="1">
      <c r="A8" t="inlineStr">
        <is>
          <t>S 5052-2024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45637</v>
      </c>
      <c r="E8" s="1" t="n">
        <v>46326</v>
      </c>
      <c r="F8" t="inlineStr">
        <is>
          <t>SKÅNE LÄN</t>
        </is>
      </c>
      <c r="G8" t="inlineStr">
        <is>
          <t>ÖSTRA GÖINGE</t>
        </is>
      </c>
      <c r="I8" t="n">
        <v>65.59999999999999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Kattfotslav
Blåmossa
Flagellkvastmossa
Havstulpanlav
Stor revmossa</t>
        </is>
      </c>
      <c r="W8">
        <f>HYPERLINK("https://klasma.github.io/Logging_1256/artfynd/S 5052-2024 artfynd.xlsx", "S 5052-2024")</f>
        <v/>
      </c>
      <c r="X8">
        <f>HYPERLINK("https://klasma.github.io/Logging_1256/kartor/S 5052-2024 karta.png", "S 5052-2024")</f>
        <v/>
      </c>
      <c r="Y8">
        <f>HYPERLINK("https://klasma.github.io/Logging_1256/kartor_geotiff/S 5052-2024 georefererad karta.tif", "S 5052-2024")</f>
        <v/>
      </c>
      <c r="AA8">
        <f>HYPERLINK("https://klasma.github.io/Logging_1256/klagomål/S 5052-2024 FSC-klagomål.docx", "S 5052-2024")</f>
        <v/>
      </c>
      <c r="AB8">
        <f>HYPERLINK("https://klasma.github.io/Logging_1256/klagomålsmail/S 5052-2024 FSC-klagomål mail.docx", "S 5052-2024")</f>
        <v/>
      </c>
      <c r="AC8">
        <f>HYPERLINK("https://klasma.github.io/Logging_1256/tillsyn/S 5052-2024 tillsynsbegäran.docx", "S 5052-2024")</f>
        <v/>
      </c>
      <c r="AD8">
        <f>HYPERLINK("https://klasma.github.io/Logging_1256/tillsynsmail/S 5052-2024 tillsynsbegäran mail.docx", "S 5052-2024")</f>
        <v/>
      </c>
    </row>
    <row r="9" ht="15" customHeight="1">
      <c r="A9" t="inlineStr">
        <is>
          <t>A 59155-2022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44897</v>
      </c>
      <c r="E9" s="1" t="n">
        <v>46326</v>
      </c>
      <c r="F9" t="inlineStr">
        <is>
          <t>SKÅNE LÄN</t>
        </is>
      </c>
      <c r="G9" t="inlineStr">
        <is>
          <t>ÖSTRA GÖINGE</t>
        </is>
      </c>
      <c r="I9" t="n">
        <v>5.2</v>
      </c>
      <c r="J9" t="n">
        <v>0</v>
      </c>
      <c r="K9" t="n">
        <v>2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6</v>
      </c>
      <c r="U9" t="n">
        <v>3</v>
      </c>
      <c r="V9" s="2" t="inlineStr">
        <is>
          <t>Ask
Blek kraterlav
Gulfotshätta
Lönnlav</t>
        </is>
      </c>
      <c r="W9">
        <f>HYPERLINK("https://klasma.github.io/Logging_1256/artfynd/A 59155-2022 artfynd.xlsx", "A 59155-2022")</f>
        <v/>
      </c>
      <c r="X9">
        <f>HYPERLINK("https://klasma.github.io/Logging_1256/kartor/A 59155-2022 karta.png", "A 59155-2022")</f>
        <v/>
      </c>
      <c r="Y9">
        <f>HYPERLINK("https://klasma.github.io/Logging_1256/kartor_geotiff/A 59155-2022 georefererad karta.tif", "A 59155-2022")</f>
        <v/>
      </c>
      <c r="AA9">
        <f>HYPERLINK("https://klasma.github.io/Logging_1256/klagomål/A 59155-2022 FSC-klagomål.docx", "A 59155-2022")</f>
        <v/>
      </c>
      <c r="AB9">
        <f>HYPERLINK("https://klasma.github.io/Logging_1256/klagomålsmail/A 59155-2022 FSC-klagomål mail.docx", "A 59155-2022")</f>
        <v/>
      </c>
      <c r="AC9">
        <f>HYPERLINK("https://klasma.github.io/Logging_1256/tillsyn/A 59155-2022 tillsynsbegäran.docx", "A 59155-2022")</f>
        <v/>
      </c>
      <c r="AD9">
        <f>HYPERLINK("https://klasma.github.io/Logging_1256/tillsynsmail/A 59155-2022 tillsynsbegäran mail.docx", "A 59155-2022")</f>
        <v/>
      </c>
    </row>
    <row r="10" ht="15" customHeight="1">
      <c r="A10" t="inlineStr">
        <is>
          <t>S 449-2022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44586</v>
      </c>
      <c r="E10" s="1" t="n">
        <v>46326</v>
      </c>
      <c r="F10" t="inlineStr">
        <is>
          <t>SKÅNE LÄN</t>
        </is>
      </c>
      <c r="G10" t="inlineStr">
        <is>
          <t>ÖSTRA GÖINGE</t>
        </is>
      </c>
      <c r="I10" t="n">
        <v>1.8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Liten lundlav
Bokfjädermossa
Gulnål
Stubbspretmossa</t>
        </is>
      </c>
      <c r="W10">
        <f>HYPERLINK("https://klasma.github.io/Logging_1256/artfynd/S 449-2022 artfynd.xlsx", "S 449-2022")</f>
        <v/>
      </c>
      <c r="X10">
        <f>HYPERLINK("https://klasma.github.io/Logging_1256/kartor/S 449-2022 karta.png", "S 449-2022")</f>
        <v/>
      </c>
      <c r="Y10">
        <f>HYPERLINK("https://klasma.github.io/Logging_1256/kartor_geotiff/S 449-2022 georefererad karta.tif", "S 449-2022")</f>
        <v/>
      </c>
      <c r="AA10">
        <f>HYPERLINK("https://klasma.github.io/Logging_1256/klagomål/S 449-2022 FSC-klagomål.docx", "S 449-2022")</f>
        <v/>
      </c>
      <c r="AB10">
        <f>HYPERLINK("https://klasma.github.io/Logging_1256/klagomålsmail/S 449-2022 FSC-klagomål mail.docx", "S 449-2022")</f>
        <v/>
      </c>
      <c r="AC10">
        <f>HYPERLINK("https://klasma.github.io/Logging_1256/tillsyn/S 449-2022 tillsynsbegäran.docx", "S 449-2022")</f>
        <v/>
      </c>
      <c r="AD10">
        <f>HYPERLINK("https://klasma.github.io/Logging_1256/tillsynsmail/S 449-2022 tillsynsbegäran mail.docx", "S 449-2022")</f>
        <v/>
      </c>
    </row>
    <row r="11" ht="15" customHeight="1">
      <c r="A11" t="inlineStr">
        <is>
          <t>S 462-2023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44964</v>
      </c>
      <c r="E11" s="1" t="n">
        <v>46326</v>
      </c>
      <c r="F11" t="inlineStr">
        <is>
          <t>SKÅNE LÄN</t>
        </is>
      </c>
      <c r="G11" t="inlineStr">
        <is>
          <t>ÖSTRA GÖINGE</t>
        </is>
      </c>
      <c r="I11" t="n">
        <v>45.9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1</v>
      </c>
      <c r="V11" s="2" t="inlineStr">
        <is>
          <t>Kandelabersvamp
Brandticka
Vanlig groda
Vanlig padda</t>
        </is>
      </c>
      <c r="W11">
        <f>HYPERLINK("https://klasma.github.io/Logging_1256/artfynd/S 462-2023 artfynd.xlsx", "S 462-2023")</f>
        <v/>
      </c>
      <c r="X11">
        <f>HYPERLINK("https://klasma.github.io/Logging_1256/kartor/S 462-2023 karta.png", "S 462-2023")</f>
        <v/>
      </c>
      <c r="Y11">
        <f>HYPERLINK("https://klasma.github.io/Logging_1256/kartor_geotiff/S 462-2023 georefererad karta.tif", "S 462-2023")</f>
        <v/>
      </c>
      <c r="AA11">
        <f>HYPERLINK("https://klasma.github.io/Logging_1256/klagomål/S 462-2023 FSC-klagomål.docx", "S 462-2023")</f>
        <v/>
      </c>
      <c r="AB11">
        <f>HYPERLINK("https://klasma.github.io/Logging_1256/klagomålsmail/S 462-2023 FSC-klagomål mail.docx", "S 462-2023")</f>
        <v/>
      </c>
      <c r="AC11">
        <f>HYPERLINK("https://klasma.github.io/Logging_1256/tillsyn/S 462-2023 tillsynsbegäran.docx", "S 462-2023")</f>
        <v/>
      </c>
      <c r="AD11">
        <f>HYPERLINK("https://klasma.github.io/Logging_1256/tillsynsmail/S 462-2023 tillsynsbegäran mail.docx", "S 462-2023")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46326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46326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46326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A 62140-2023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45267</v>
      </c>
      <c r="E15" s="1" t="n">
        <v>46326</v>
      </c>
      <c r="F15" t="inlineStr">
        <is>
          <t>SKÅNE LÄN</t>
        </is>
      </c>
      <c r="G15" t="inlineStr">
        <is>
          <t>ÖSTRA GÖINGE</t>
        </is>
      </c>
      <c r="I15" t="n">
        <v>1.5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Krusfrö
Rödlånke
Grönvit nattviol</t>
        </is>
      </c>
      <c r="W15">
        <f>HYPERLINK("https://klasma.github.io/Logging_1256/artfynd/A 62140-2023 artfynd.xlsx", "A 62140-2023")</f>
        <v/>
      </c>
      <c r="X15">
        <f>HYPERLINK("https://klasma.github.io/Logging_1256/kartor/A 62140-2023 karta.png", "A 62140-2023")</f>
        <v/>
      </c>
      <c r="Y15">
        <f>HYPERLINK("https://klasma.github.io/Logging_1256/kartor_geotiff/A 62140-2023 georefererad karta.tif", "A 62140-2023")</f>
        <v/>
      </c>
      <c r="AA15">
        <f>HYPERLINK("https://klasma.github.io/Logging_1256/klagomål/A 62140-2023 FSC-klagomål.docx", "A 62140-2023")</f>
        <v/>
      </c>
      <c r="AB15">
        <f>HYPERLINK("https://klasma.github.io/Logging_1256/klagomålsmail/A 62140-2023 FSC-klagomål mail.docx", "A 62140-2023")</f>
        <v/>
      </c>
      <c r="AC15">
        <f>HYPERLINK("https://klasma.github.io/Logging_1256/tillsyn/A 62140-2023 tillsynsbegäran.docx", "A 62140-2023")</f>
        <v/>
      </c>
      <c r="AD15">
        <f>HYPERLINK("https://klasma.github.io/Logging_1256/tillsynsmail/A 62140-2023 tillsynsbegäran mail.docx", "A 62140-2023")</f>
        <v/>
      </c>
    </row>
    <row r="16" ht="15" customHeight="1">
      <c r="A16" t="inlineStr">
        <is>
          <t>S 2860-2024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45497</v>
      </c>
      <c r="E16" s="1" t="n">
        <v>46326</v>
      </c>
      <c r="F16" t="inlineStr">
        <is>
          <t>SKÅNE LÄN</t>
        </is>
      </c>
      <c r="G16" t="inlineStr">
        <is>
          <t>ÖSTRA GÖINGE</t>
        </is>
      </c>
      <c r="I16" t="n">
        <v>24.6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19</v>
      </c>
      <c r="U16" t="n">
        <v>0</v>
      </c>
      <c r="V16" s="2" t="inlineStr">
        <is>
          <t>Fällmossa
Klippfrullania
Västlig hakmossa</t>
        </is>
      </c>
      <c r="W16">
        <f>HYPERLINK("https://klasma.github.io/Logging_1256/artfynd/S 2860-2024 artfynd.xlsx", "S 2860-2024")</f>
        <v/>
      </c>
      <c r="X16">
        <f>HYPERLINK("https://klasma.github.io/Logging_1256/kartor/S 2860-2024 karta.png", "S 2860-2024")</f>
        <v/>
      </c>
      <c r="Y16">
        <f>HYPERLINK("https://klasma.github.io/Logging_1256/kartor_geotiff/S 2860-2024 georefererad karta.tif", "S 2860-2024")</f>
        <v/>
      </c>
      <c r="AA16">
        <f>HYPERLINK("https://klasma.github.io/Logging_1256/klagomål/S 2860-2024 FSC-klagomål.docx", "S 2860-2024")</f>
        <v/>
      </c>
      <c r="AB16">
        <f>HYPERLINK("https://klasma.github.io/Logging_1256/klagomålsmail/S 2860-2024 FSC-klagomål mail.docx", "S 2860-2024")</f>
        <v/>
      </c>
      <c r="AC16">
        <f>HYPERLINK("https://klasma.github.io/Logging_1256/tillsyn/S 2860-2024 tillsynsbegäran.docx", "S 2860-2024")</f>
        <v/>
      </c>
      <c r="AD16">
        <f>HYPERLINK("https://klasma.github.io/Logging_1256/tillsynsmail/S 2860-2024 tillsynsbegäran mail.docx", "S 2860-2024")</f>
        <v/>
      </c>
    </row>
    <row r="17" ht="15" customHeight="1">
      <c r="A17" t="inlineStr">
        <is>
          <t>S 378-2024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45330</v>
      </c>
      <c r="E17" s="1" t="n">
        <v>46326</v>
      </c>
      <c r="F17" t="inlineStr">
        <is>
          <t>SKÅNE LÄN</t>
        </is>
      </c>
      <c r="G17" t="inlineStr">
        <is>
          <t>ÖSTRA GÖINGE</t>
        </is>
      </c>
      <c r="I17" t="n">
        <v>33.3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Bokvårtlav
Havstulpanlav
Västlig hakmossa</t>
        </is>
      </c>
      <c r="W17">
        <f>HYPERLINK("https://klasma.github.io/Logging_1256/artfynd/S 378-2024 artfynd.xlsx", "S 378-2024")</f>
        <v/>
      </c>
      <c r="X17">
        <f>HYPERLINK("https://klasma.github.io/Logging_1256/kartor/S 378-2024 karta.png", "S 378-2024")</f>
        <v/>
      </c>
      <c r="Y17">
        <f>HYPERLINK("https://klasma.github.io/Logging_1256/kartor_geotiff/S 378-2024 georefererad karta.tif", "S 378-2024")</f>
        <v/>
      </c>
      <c r="AA17">
        <f>HYPERLINK("https://klasma.github.io/Logging_1256/klagomål/S 378-2024 FSC-klagomål.docx", "S 378-2024")</f>
        <v/>
      </c>
      <c r="AB17">
        <f>HYPERLINK("https://klasma.github.io/Logging_1256/klagomålsmail/S 378-2024 FSC-klagomål mail.docx", "S 378-2024")</f>
        <v/>
      </c>
      <c r="AC17">
        <f>HYPERLINK("https://klasma.github.io/Logging_1256/tillsyn/S 378-2024 tillsynsbegäran.docx", "S 378-2024")</f>
        <v/>
      </c>
      <c r="AD17">
        <f>HYPERLINK("https://klasma.github.io/Logging_1256/tillsynsmail/S 378-2024 tillsynsbegäran mail.docx", "S 378-2024")</f>
        <v/>
      </c>
    </row>
    <row r="18" ht="15" customHeight="1">
      <c r="A18" t="inlineStr">
        <is>
          <t>S 2831-2023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45166</v>
      </c>
      <c r="E18" s="1" t="n">
        <v>46326</v>
      </c>
      <c r="F18" t="inlineStr">
        <is>
          <t>SKÅNE LÄN</t>
        </is>
      </c>
      <c r="G18" t="inlineStr">
        <is>
          <t>ÖSTRA GÖINGE</t>
        </is>
      </c>
      <c r="I18" t="n">
        <v>22.2</v>
      </c>
      <c r="J18" t="n">
        <v>0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Barkkornlav
Fällmossa
Rostfläck</t>
        </is>
      </c>
      <c r="W18">
        <f>HYPERLINK("https://klasma.github.io/Logging_1256/artfynd/S 2831-2023 artfynd.xlsx", "S 2831-2023")</f>
        <v/>
      </c>
      <c r="X18">
        <f>HYPERLINK("https://klasma.github.io/Logging_1256/kartor/S 2831-2023 karta.png", "S 2831-2023")</f>
        <v/>
      </c>
      <c r="Y18">
        <f>HYPERLINK("https://klasma.github.io/Logging_1256/kartor_geotiff/S 2831-2023 georefererad karta.tif", "S 2831-2023")</f>
        <v/>
      </c>
      <c r="AA18">
        <f>HYPERLINK("https://klasma.github.io/Logging_1256/klagomål/S 2831-2023 FSC-klagomål.docx", "S 2831-2023")</f>
        <v/>
      </c>
      <c r="AB18">
        <f>HYPERLINK("https://klasma.github.io/Logging_1256/klagomålsmail/S 2831-2023 FSC-klagomål mail.docx", "S 2831-2023")</f>
        <v/>
      </c>
      <c r="AC18">
        <f>HYPERLINK("https://klasma.github.io/Logging_1256/tillsyn/S 2831-2023 tillsynsbegäran.docx", "S 2831-2023")</f>
        <v/>
      </c>
      <c r="AD18">
        <f>HYPERLINK("https://klasma.github.io/Logging_1256/tillsynsmail/S 2831-2023 tillsynsbegäran mail.docx", "S 2831-2023")</f>
        <v/>
      </c>
    </row>
    <row r="19" ht="15" customHeight="1">
      <c r="A19" t="inlineStr">
        <is>
          <t>S 1423-2025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45783</v>
      </c>
      <c r="E19" s="1" t="n">
        <v>46326</v>
      </c>
      <c r="F19" t="inlineStr">
        <is>
          <t>SKÅNE LÄN</t>
        </is>
      </c>
      <c r="G19" t="inlineStr">
        <is>
          <t>ÖSTRA GÖINGE</t>
        </is>
      </c>
      <c r="I19" t="n">
        <v>0.6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Havstulpanlav
Rostfläck
Glansfläck</t>
        </is>
      </c>
      <c r="W19">
        <f>HYPERLINK("https://klasma.github.io/Logging_1256/artfynd/S 1423-2025 artfynd.xlsx", "S 1423-2025")</f>
        <v/>
      </c>
      <c r="X19">
        <f>HYPERLINK("https://klasma.github.io/Logging_1256/kartor/S 1423-2025 karta.png", "S 1423-2025")</f>
        <v/>
      </c>
      <c r="Y19">
        <f>HYPERLINK("https://klasma.github.io/Logging_1256/kartor_geotiff/S 1423-2025 georefererad karta.tif", "S 1423-2025")</f>
        <v/>
      </c>
      <c r="AA19">
        <f>HYPERLINK("https://klasma.github.io/Logging_1256/klagomål/S 1423-2025 FSC-klagomål.docx", "S 1423-2025")</f>
        <v/>
      </c>
      <c r="AB19">
        <f>HYPERLINK("https://klasma.github.io/Logging_1256/klagomålsmail/S 1423-2025 FSC-klagomål mail.docx", "S 1423-2025")</f>
        <v/>
      </c>
      <c r="AC19">
        <f>HYPERLINK("https://klasma.github.io/Logging_1256/tillsyn/S 1423-2025 tillsynsbegäran.docx", "S 1423-2025")</f>
        <v/>
      </c>
      <c r="AD19">
        <f>HYPERLINK("https://klasma.github.io/Logging_1256/tillsynsmail/S 1423-2025 tillsynsbegäran mail.docx", "S 1423-2025")</f>
        <v/>
      </c>
    </row>
    <row r="20" ht="15" customHeight="1">
      <c r="A20" t="inlineStr">
        <is>
          <t>A 365-2023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44929</v>
      </c>
      <c r="E20" s="1" t="n">
        <v>46326</v>
      </c>
      <c r="F20" t="inlineStr">
        <is>
          <t>SKÅNE LÄN</t>
        </is>
      </c>
      <c r="G20" t="inlineStr">
        <is>
          <t>ÖSTRA GÖINGE</t>
        </is>
      </c>
      <c r="I20" t="n">
        <v>2.9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Grönsångare
Svartvit flugsnappare</t>
        </is>
      </c>
      <c r="W20">
        <f>HYPERLINK("https://klasma.github.io/Logging_1256/artfynd/A 365-2023 artfynd.xlsx", "A 365-2023")</f>
        <v/>
      </c>
      <c r="X20">
        <f>HYPERLINK("https://klasma.github.io/Logging_1256/kartor/A 365-2023 karta.png", "A 365-2023")</f>
        <v/>
      </c>
      <c r="Y20">
        <f>HYPERLINK("https://klasma.github.io/Logging_1256/kartor_geotiff/A 365-2023 georefererad karta.tif", "A 365-2023")</f>
        <v/>
      </c>
      <c r="AA20">
        <f>HYPERLINK("https://klasma.github.io/Logging_1256/klagomål/A 365-2023 FSC-klagomål.docx", "A 365-2023")</f>
        <v/>
      </c>
      <c r="AB20">
        <f>HYPERLINK("https://klasma.github.io/Logging_1256/klagomålsmail/A 365-2023 FSC-klagomål mail.docx", "A 365-2023")</f>
        <v/>
      </c>
      <c r="AC20">
        <f>HYPERLINK("https://klasma.github.io/Logging_1256/tillsyn/A 365-2023 tillsynsbegäran.docx", "A 365-2023")</f>
        <v/>
      </c>
      <c r="AD20">
        <f>HYPERLINK("https://klasma.github.io/Logging_1256/tillsynsmail/A 365-2023 tillsynsbegäran mail.docx", "A 365-2023")</f>
        <v/>
      </c>
      <c r="AE20">
        <f>HYPERLINK("https://klasma.github.io/Logging_1256/fåglar/A 365-2023 prioriterade fågelarter.docx", "A 365-2023")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46326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32367-2024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45512</v>
      </c>
      <c r="E22" s="1" t="n">
        <v>46326</v>
      </c>
      <c r="F22" t="inlineStr">
        <is>
          <t>SKÅNE LÄN</t>
        </is>
      </c>
      <c r="G22" t="inlineStr">
        <is>
          <t>ÖSTRA GÖINGE</t>
        </is>
      </c>
      <c r="I22" t="n">
        <v>5.4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Blomkålssvamp
Västlig hakmossa</t>
        </is>
      </c>
      <c r="W22">
        <f>HYPERLINK("https://klasma.github.io/Logging_1256/artfynd/A 32367-2024 artfynd.xlsx", "A 32367-2024")</f>
        <v/>
      </c>
      <c r="X22">
        <f>HYPERLINK("https://klasma.github.io/Logging_1256/kartor/A 32367-2024 karta.png", "A 32367-2024")</f>
        <v/>
      </c>
      <c r="Y22">
        <f>HYPERLINK("https://klasma.github.io/Logging_1256/kartor_geotiff/A 32367-2024 georefererad karta.tif", "A 32367-2024")</f>
        <v/>
      </c>
      <c r="AA22">
        <f>HYPERLINK("https://klasma.github.io/Logging_1256/klagomål/A 32367-2024 FSC-klagomål.docx", "A 32367-2024")</f>
        <v/>
      </c>
      <c r="AB22">
        <f>HYPERLINK("https://klasma.github.io/Logging_1256/klagomålsmail/A 32367-2024 FSC-klagomål mail.docx", "A 32367-2024")</f>
        <v/>
      </c>
      <c r="AC22">
        <f>HYPERLINK("https://klasma.github.io/Logging_1256/tillsyn/A 32367-2024 tillsynsbegäran.docx", "A 32367-2024")</f>
        <v/>
      </c>
      <c r="AD22">
        <f>HYPERLINK("https://klasma.github.io/Logging_1256/tillsynsmail/A 32367-2024 tillsynsbegäran mail.docx", "A 32367-2024")</f>
        <v/>
      </c>
    </row>
    <row r="23" ht="15" customHeight="1">
      <c r="A23" t="inlineStr">
        <is>
          <t>A 62142-2023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45267</v>
      </c>
      <c r="E23" s="1" t="n">
        <v>46326</v>
      </c>
      <c r="F23" t="inlineStr">
        <is>
          <t>SKÅNE LÄN</t>
        </is>
      </c>
      <c r="G23" t="inlineStr">
        <is>
          <t>ÖSTRA GÖINGE</t>
        </is>
      </c>
      <c r="I23" t="n">
        <v>8.1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62142-2023 artfynd.xlsx", "A 62142-2023")</f>
        <v/>
      </c>
      <c r="X23">
        <f>HYPERLINK("https://klasma.github.io/Logging_1256/kartor/A 62142-2023 karta.png", "A 62142-2023")</f>
        <v/>
      </c>
      <c r="Y23">
        <f>HYPERLINK("https://klasma.github.io/Logging_1256/kartor_geotiff/A 62142-2023 georefererad karta.tif", "A 62142-2023")</f>
        <v/>
      </c>
      <c r="AA23">
        <f>HYPERLINK("https://klasma.github.io/Logging_1256/klagomål/A 62142-2023 FSC-klagomål.docx", "A 62142-2023")</f>
        <v/>
      </c>
      <c r="AB23">
        <f>HYPERLINK("https://klasma.github.io/Logging_1256/klagomålsmail/A 62142-2023 FSC-klagomål mail.docx", "A 62142-2023")</f>
        <v/>
      </c>
      <c r="AC23">
        <f>HYPERLINK("https://klasma.github.io/Logging_1256/tillsyn/A 62142-2023 tillsynsbegäran.docx", "A 62142-2023")</f>
        <v/>
      </c>
      <c r="AD23">
        <f>HYPERLINK("https://klasma.github.io/Logging_1256/tillsynsmail/A 62142-2023 tillsynsbegäran mail.docx", "A 62142-2023")</f>
        <v/>
      </c>
      <c r="AE23">
        <f>HYPERLINK("https://klasma.github.io/Logging_1256/fåglar/A 62142-2023 prioriterade fågelarter.docx", "A 62142-2023")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46326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46326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46326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46326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46326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37585-2024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45541</v>
      </c>
      <c r="E29" s="1" t="n">
        <v>46326</v>
      </c>
      <c r="F29" t="inlineStr">
        <is>
          <t>SKÅNE LÄN</t>
        </is>
      </c>
      <c r="G29" t="inlineStr">
        <is>
          <t>ÖSTRA GÖINGE</t>
        </is>
      </c>
      <c r="I29" t="n">
        <v>22.7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Gullklöver
Fläcknycklar</t>
        </is>
      </c>
      <c r="W29">
        <f>HYPERLINK("https://klasma.github.io/Logging_1256/artfynd/A 37585-2024 artfynd.xlsx", "A 37585-2024")</f>
        <v/>
      </c>
      <c r="X29">
        <f>HYPERLINK("https://klasma.github.io/Logging_1256/kartor/A 37585-2024 karta.png", "A 37585-2024")</f>
        <v/>
      </c>
      <c r="Y29">
        <f>HYPERLINK("https://klasma.github.io/Logging_1256/kartor_geotiff/A 37585-2024 georefererad karta.tif", "A 37585-2024")</f>
        <v/>
      </c>
      <c r="AA29">
        <f>HYPERLINK("https://klasma.github.io/Logging_1256/klagomål/A 37585-2024 FSC-klagomål.docx", "A 37585-2024")</f>
        <v/>
      </c>
      <c r="AB29">
        <f>HYPERLINK("https://klasma.github.io/Logging_1256/klagomålsmail/A 37585-2024 FSC-klagomål mail.docx", "A 37585-2024")</f>
        <v/>
      </c>
      <c r="AC29">
        <f>HYPERLINK("https://klasma.github.io/Logging_1256/tillsyn/A 37585-2024 tillsynsbegäran.docx", "A 37585-2024")</f>
        <v/>
      </c>
      <c r="AD29">
        <f>HYPERLINK("https://klasma.github.io/Logging_1256/tillsynsmail/A 37585-2024 tillsynsbegäran mail.docx", "A 37585-2024")</f>
        <v/>
      </c>
    </row>
    <row r="30" ht="15" customHeight="1">
      <c r="A30" t="inlineStr">
        <is>
          <t>A 34389-2024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45525</v>
      </c>
      <c r="E30" s="1" t="n">
        <v>46326</v>
      </c>
      <c r="F30" t="inlineStr">
        <is>
          <t>SKÅNE LÄN</t>
        </is>
      </c>
      <c r="G30" t="inlineStr">
        <is>
          <t>ÖSTRA GÖINGE</t>
        </is>
      </c>
      <c r="I30" t="n">
        <v>1.3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Pulverädellav
Havstulpanlav</t>
        </is>
      </c>
      <c r="W30">
        <f>HYPERLINK("https://klasma.github.io/Logging_1256/artfynd/A 34389-2024 artfynd.xlsx", "A 34389-2024")</f>
        <v/>
      </c>
      <c r="X30">
        <f>HYPERLINK("https://klasma.github.io/Logging_1256/kartor/A 34389-2024 karta.png", "A 34389-2024")</f>
        <v/>
      </c>
      <c r="Y30">
        <f>HYPERLINK("https://klasma.github.io/Logging_1256/kartor_geotiff/A 34389-2024 georefererad karta.tif", "A 34389-2024")</f>
        <v/>
      </c>
      <c r="AA30">
        <f>HYPERLINK("https://klasma.github.io/Logging_1256/klagomål/A 34389-2024 FSC-klagomål.docx", "A 34389-2024")</f>
        <v/>
      </c>
      <c r="AB30">
        <f>HYPERLINK("https://klasma.github.io/Logging_1256/klagomålsmail/A 34389-2024 FSC-klagomål mail.docx", "A 34389-2024")</f>
        <v/>
      </c>
      <c r="AC30">
        <f>HYPERLINK("https://klasma.github.io/Logging_1256/tillsyn/A 34389-2024 tillsynsbegäran.docx", "A 34389-2024")</f>
        <v/>
      </c>
      <c r="AD30">
        <f>HYPERLINK("https://klasma.github.io/Logging_1256/tillsynsmail/A 34389-2024 tillsynsbegäran mail.docx", "A 34389-2024")</f>
        <v/>
      </c>
    </row>
    <row r="31" ht="15" customHeight="1">
      <c r="A31" t="inlineStr">
        <is>
          <t>S 531-2023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44967</v>
      </c>
      <c r="E31" s="1" t="n">
        <v>46326</v>
      </c>
      <c r="F31" t="inlineStr">
        <is>
          <t>SKÅNE LÄN</t>
        </is>
      </c>
      <c r="G31" t="inlineStr">
        <is>
          <t>ÖSTRA GÖINGE</t>
        </is>
      </c>
      <c r="I31" t="n">
        <v>25.3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Nötkråka
Svart skogssnigel</t>
        </is>
      </c>
      <c r="W31">
        <f>HYPERLINK("https://klasma.github.io/Logging_1256/artfynd/S 531-2023 artfynd.xlsx", "S 531-2023")</f>
        <v/>
      </c>
      <c r="X31">
        <f>HYPERLINK("https://klasma.github.io/Logging_1256/kartor/S 531-2023 karta.png", "S 531-2023")</f>
        <v/>
      </c>
      <c r="Y31">
        <f>HYPERLINK("https://klasma.github.io/Logging_1256/kartor_geotiff/S 531-2023 georefererad karta.tif", "S 531-2023")</f>
        <v/>
      </c>
      <c r="AA31">
        <f>HYPERLINK("https://klasma.github.io/Logging_1256/klagomål/S 531-2023 FSC-klagomål.docx", "S 531-2023")</f>
        <v/>
      </c>
      <c r="AB31">
        <f>HYPERLINK("https://klasma.github.io/Logging_1256/klagomålsmail/S 531-2023 FSC-klagomål mail.docx", "S 531-2023")</f>
        <v/>
      </c>
      <c r="AC31">
        <f>HYPERLINK("https://klasma.github.io/Logging_1256/tillsyn/S 531-2023 tillsynsbegäran.docx", "S 531-2023")</f>
        <v/>
      </c>
      <c r="AD31">
        <f>HYPERLINK("https://klasma.github.io/Logging_1256/tillsynsmail/S 531-2023 tillsynsbegäran mail.docx", "S 531-2023")</f>
        <v/>
      </c>
      <c r="AE31">
        <f>HYPERLINK("https://klasma.github.io/Logging_1256/fåglar/S 531-2023 prioriterade fågelarter.docx", "S 531-2023")</f>
        <v/>
      </c>
    </row>
    <row r="32" ht="15" customHeight="1">
      <c r="A32" t="inlineStr">
        <is>
          <t>S 463-2025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45702</v>
      </c>
      <c r="E32" s="1" t="n">
        <v>46326</v>
      </c>
      <c r="F32" t="inlineStr">
        <is>
          <t>SKÅNE LÄN</t>
        </is>
      </c>
      <c r="G32" t="inlineStr">
        <is>
          <t>ÖSTRA GÖINGE</t>
        </is>
      </c>
      <c r="I32" t="n">
        <v>67.59999999999999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7</v>
      </c>
      <c r="U32" t="n">
        <v>0</v>
      </c>
      <c r="V32" s="2" t="inlineStr">
        <is>
          <t>Vildris
Safsa</t>
        </is>
      </c>
      <c r="W32">
        <f>HYPERLINK("https://klasma.github.io/Logging_1256/artfynd/S 463-2025 artfynd.xlsx", "S 463-2025")</f>
        <v/>
      </c>
      <c r="X32">
        <f>HYPERLINK("https://klasma.github.io/Logging_1256/kartor/S 463-2025 karta.png", "S 463-2025")</f>
        <v/>
      </c>
      <c r="Y32">
        <f>HYPERLINK("https://klasma.github.io/Logging_1256/kartor_geotiff/S 463-2025 georefererad karta.tif", "S 463-2025")</f>
        <v/>
      </c>
      <c r="AA32">
        <f>HYPERLINK("https://klasma.github.io/Logging_1256/klagomål/S 463-2025 FSC-klagomål.docx", "S 463-2025")</f>
        <v/>
      </c>
      <c r="AB32">
        <f>HYPERLINK("https://klasma.github.io/Logging_1256/klagomålsmail/S 463-2025 FSC-klagomål mail.docx", "S 463-2025")</f>
        <v/>
      </c>
      <c r="AC32">
        <f>HYPERLINK("https://klasma.github.io/Logging_1256/tillsyn/S 463-2025 tillsynsbegäran.docx", "S 463-2025")</f>
        <v/>
      </c>
      <c r="AD32">
        <f>HYPERLINK("https://klasma.github.io/Logging_1256/tillsynsmail/S 463-2025 tillsynsbegäran mail.docx", "S 463-2025")</f>
        <v/>
      </c>
    </row>
    <row r="33" ht="15" customHeight="1">
      <c r="A33" t="inlineStr">
        <is>
          <t>S 815-2025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45730</v>
      </c>
      <c r="E33" s="1" t="n">
        <v>46326</v>
      </c>
      <c r="F33" t="inlineStr">
        <is>
          <t>SKÅNE LÄN</t>
        </is>
      </c>
      <c r="G33" t="inlineStr">
        <is>
          <t>ÖSTRA GÖINGE</t>
        </is>
      </c>
      <c r="I33" t="n">
        <v>55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1</v>
      </c>
      <c r="V33" s="2" t="inlineStr">
        <is>
          <t>Småvänderot
Safsa</t>
        </is>
      </c>
      <c r="W33">
        <f>HYPERLINK("https://klasma.github.io/Logging_1256/artfynd/S 815-2025 artfynd.xlsx", "S 815-2025")</f>
        <v/>
      </c>
      <c r="X33">
        <f>HYPERLINK("https://klasma.github.io/Logging_1256/kartor/S 815-2025 karta.png", "S 815-2025")</f>
        <v/>
      </c>
      <c r="Y33">
        <f>HYPERLINK("https://klasma.github.io/Logging_1256/kartor_geotiff/S 815-2025 georefererad karta.tif", "S 815-2025")</f>
        <v/>
      </c>
      <c r="AA33">
        <f>HYPERLINK("https://klasma.github.io/Logging_1256/klagomål/S 815-2025 FSC-klagomål.docx", "S 815-2025")</f>
        <v/>
      </c>
      <c r="AB33">
        <f>HYPERLINK("https://klasma.github.io/Logging_1256/klagomålsmail/S 815-2025 FSC-klagomål mail.docx", "S 815-2025")</f>
        <v/>
      </c>
      <c r="AC33">
        <f>HYPERLINK("https://klasma.github.io/Logging_1256/tillsyn/S 815-2025 tillsynsbegäran.docx", "S 815-2025")</f>
        <v/>
      </c>
      <c r="AD33">
        <f>HYPERLINK("https://klasma.github.io/Logging_1256/tillsynsmail/S 815-2025 tillsynsbegäran mail.docx", "S 815-2025")</f>
        <v/>
      </c>
    </row>
    <row r="34" ht="15" customHeight="1">
      <c r="A34" t="inlineStr">
        <is>
          <t>S 2661-2025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45923</v>
      </c>
      <c r="E34" s="1" t="n">
        <v>46326</v>
      </c>
      <c r="F34" t="inlineStr">
        <is>
          <t>SKÅNE LÄN</t>
        </is>
      </c>
      <c r="G34" t="inlineStr">
        <is>
          <t>ÖSTRA GÖINGE</t>
        </is>
      </c>
      <c r="I34" t="n">
        <v>0.1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Bokvårtlav
Havstulpanlav</t>
        </is>
      </c>
      <c r="W34">
        <f>HYPERLINK("https://klasma.github.io/Logging_1256/artfynd/S 2661-2025 artfynd.xlsx", "S 2661-2025")</f>
        <v/>
      </c>
      <c r="X34">
        <f>HYPERLINK("https://klasma.github.io/Logging_1256/kartor/S 2661-2025 karta.png", "S 2661-2025")</f>
        <v/>
      </c>
      <c r="Y34">
        <f>HYPERLINK("https://klasma.github.io/Logging_1256/kartor_geotiff/S 2661-2025 georefererad karta.tif", "S 2661-2025")</f>
        <v/>
      </c>
      <c r="AA34">
        <f>HYPERLINK("https://klasma.github.io/Logging_1256/klagomål/S 2661-2025 FSC-klagomål.docx", "S 2661-2025")</f>
        <v/>
      </c>
      <c r="AB34">
        <f>HYPERLINK("https://klasma.github.io/Logging_1256/klagomålsmail/S 2661-2025 FSC-klagomål mail.docx", "S 2661-2025")</f>
        <v/>
      </c>
      <c r="AC34">
        <f>HYPERLINK("https://klasma.github.io/Logging_1256/tillsyn/S 2661-2025 tillsynsbegäran.docx", "S 2661-2025")</f>
        <v/>
      </c>
      <c r="AD34">
        <f>HYPERLINK("https://klasma.github.io/Logging_1256/tillsynsmail/S 2661-2025 tillsynsbegäran mail.docx", "S 2661-2025")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46326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46326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46326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46326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46326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46326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46326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46326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46326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46326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46326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35037-2024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46326</v>
      </c>
      <c r="F46" t="inlineStr">
        <is>
          <t>SKÅNE LÄN</t>
        </is>
      </c>
      <c r="G46" t="inlineStr">
        <is>
          <t>ÖSTRA GÖINGE</t>
        </is>
      </c>
      <c r="I46" t="n">
        <v>12.6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35037-2024 artfynd.xlsx", "A 35037-2024")</f>
        <v/>
      </c>
      <c r="X46">
        <f>HYPERLINK("https://klasma.github.io/Logging_1256/kartor/A 35037-2024 karta.png", "A 35037-2024")</f>
        <v/>
      </c>
      <c r="Y46">
        <f>HYPERLINK("https://klasma.github.io/Logging_1256/kartor_geotiff/A 35037-2024 georefererad karta.tif", "A 35037-2024")</f>
        <v/>
      </c>
      <c r="AA46">
        <f>HYPERLINK("https://klasma.github.io/Logging_1256/klagomål/A 35037-2024 FSC-klagomål.docx", "A 35037-2024")</f>
        <v/>
      </c>
      <c r="AB46">
        <f>HYPERLINK("https://klasma.github.io/Logging_1256/klagomålsmail/A 35037-2024 FSC-klagomål mail.docx", "A 35037-2024")</f>
        <v/>
      </c>
      <c r="AC46">
        <f>HYPERLINK("https://klasma.github.io/Logging_1256/tillsyn/A 35037-2024 tillsynsbegäran.docx", "A 35037-2024")</f>
        <v/>
      </c>
      <c r="AD46">
        <f>HYPERLINK("https://klasma.github.io/Logging_1256/tillsynsmail/A 35037-2024 tillsynsbegäran mail.docx", "A 35037-2024")</f>
        <v/>
      </c>
    </row>
    <row r="47" ht="15" customHeight="1">
      <c r="A47" t="inlineStr">
        <is>
          <t>A 38965-2025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46326</v>
      </c>
      <c r="F47" t="inlineStr">
        <is>
          <t>SKÅNE LÄN</t>
        </is>
      </c>
      <c r="G47" t="inlineStr">
        <is>
          <t>ÖSTRA GÖINGE</t>
        </is>
      </c>
      <c r="I47" t="n">
        <v>2.5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Gullklöver</t>
        </is>
      </c>
      <c r="W47">
        <f>HYPERLINK("https://klasma.github.io/Logging_1256/artfynd/A 38965-2025 artfynd.xlsx", "A 38965-2025")</f>
        <v/>
      </c>
      <c r="X47">
        <f>HYPERLINK("https://klasma.github.io/Logging_1256/kartor/A 38965-2025 karta.png", "A 38965-2025")</f>
        <v/>
      </c>
      <c r="Y47">
        <f>HYPERLINK("https://klasma.github.io/Logging_1256/kartor_geotiff/A 38965-2025 georefererad karta.tif", "A 38965-2025")</f>
        <v/>
      </c>
      <c r="AA47">
        <f>HYPERLINK("https://klasma.github.io/Logging_1256/klagomål/A 38965-2025 FSC-klagomål.docx", "A 38965-2025")</f>
        <v/>
      </c>
      <c r="AB47">
        <f>HYPERLINK("https://klasma.github.io/Logging_1256/klagomålsmail/A 38965-2025 FSC-klagomål mail.docx", "A 38965-2025")</f>
        <v/>
      </c>
      <c r="AC47">
        <f>HYPERLINK("https://klasma.github.io/Logging_1256/tillsyn/A 38965-2025 tillsynsbegäran.docx", "A 38965-2025")</f>
        <v/>
      </c>
      <c r="AD47">
        <f>HYPERLINK("https://klasma.github.io/Logging_1256/tillsynsmail/A 38965-2025 tillsynsbegäran mail.docx", "A 38965-2025")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46326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46326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46326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46326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HYPERLINK("https://klasma.github.io/Logging_1256/artfynd/A 6152-2024 artfynd.xlsx", "A 6152-2024")</f>
        <v/>
      </c>
      <c r="X51">
        <f>HYPERLINK("https://klasma.github.io/Logging_1256/kartor/A 6152-2024 karta.png", "A 6152-2024")</f>
        <v/>
      </c>
      <c r="Y51">
        <f>HYPERLINK("https://klasma.github.io/Logging_1256/kartor_geotiff/A 6152-2024 georefererad karta.tif", "A 6152-2024")</f>
        <v/>
      </c>
      <c r="AA51">
        <f>HYPERLINK("https://klasma.github.io/Logging_1256/klagomål/A 6152-2024 FSC-klagomål.docx", "A 6152-2024")</f>
        <v/>
      </c>
      <c r="AB51">
        <f>HYPERLINK("https://klasma.github.io/Logging_1256/klagomålsmail/A 6152-2024 FSC-klagomål mail.docx", "A 6152-2024")</f>
        <v/>
      </c>
      <c r="AC51">
        <f>HYPERLINK("https://klasma.github.io/Logging_1256/tillsyn/A 6152-2024 tillsynsbegäran.docx", "A 6152-2024")</f>
        <v/>
      </c>
      <c r="AD51">
        <f>HYPERLINK("https://klasma.github.io/Logging_1256/tillsynsmail/A 6152-2024 tillsynsbegäran mail.docx", "A 6152-2024")</f>
        <v/>
      </c>
    </row>
    <row r="52" ht="15" customHeight="1">
      <c r="A52" t="inlineStr">
        <is>
          <t>A 40135-2022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46326</v>
      </c>
      <c r="F52" t="inlineStr">
        <is>
          <t>SKÅNE LÄN</t>
        </is>
      </c>
      <c r="G52" t="inlineStr">
        <is>
          <t>ÖSTRA GÖINGE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HYPERLINK("https://klasma.github.io/Logging_1256/artfynd/A 40135-2022 artfynd.xlsx", "A 40135-2022")</f>
        <v/>
      </c>
      <c r="X52">
        <f>HYPERLINK("https://klasma.github.io/Logging_1256/kartor/A 40135-2022 karta.png", "A 40135-2022")</f>
        <v/>
      </c>
      <c r="Y52">
        <f>HYPERLINK("https://klasma.github.io/Logging_1256/kartor_geotiff/A 40135-2022 georefererad karta.tif", "A 40135-2022")</f>
        <v/>
      </c>
      <c r="AA52">
        <f>HYPERLINK("https://klasma.github.io/Logging_1256/klagomål/A 40135-2022 FSC-klagomål.docx", "A 40135-2022")</f>
        <v/>
      </c>
      <c r="AB52">
        <f>HYPERLINK("https://klasma.github.io/Logging_1256/klagomålsmail/A 40135-2022 FSC-klagomål mail.docx", "A 40135-2022")</f>
        <v/>
      </c>
      <c r="AC52">
        <f>HYPERLINK("https://klasma.github.io/Logging_1256/tillsyn/A 40135-2022 tillsynsbegäran.docx", "A 40135-2022")</f>
        <v/>
      </c>
      <c r="AD52">
        <f>HYPERLINK("https://klasma.github.io/Logging_1256/tillsynsmail/A 40135-2022 tillsynsbegäran mail.docx", "A 40135-2022")</f>
        <v/>
      </c>
    </row>
    <row r="53" ht="15" customHeight="1">
      <c r="A53" t="inlineStr">
        <is>
          <t>A 23400-2023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46326</v>
      </c>
      <c r="F53" t="inlineStr">
        <is>
          <t>SKÅNE LÄN</t>
        </is>
      </c>
      <c r="G53" t="inlineStr">
        <is>
          <t>ÖSTRA GÖINGE</t>
        </is>
      </c>
      <c r="I53" t="n">
        <v>5.1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HYPERLINK("https://klasma.github.io/Logging_1256/artfynd/A 23400-2023 artfynd.xlsx", "A 23400-2023")</f>
        <v/>
      </c>
      <c r="X53">
        <f>HYPERLINK("https://klasma.github.io/Logging_1256/kartor/A 23400-2023 karta.png", "A 23400-2023")</f>
        <v/>
      </c>
      <c r="Y53">
        <f>HYPERLINK("https://klasma.github.io/Logging_1256/kartor_geotiff/A 23400-2023 georefererad karta.tif", "A 23400-2023")</f>
        <v/>
      </c>
      <c r="AA53">
        <f>HYPERLINK("https://klasma.github.io/Logging_1256/klagomål/A 23400-2023 FSC-klagomål.docx", "A 23400-2023")</f>
        <v/>
      </c>
      <c r="AB53">
        <f>HYPERLINK("https://klasma.github.io/Logging_1256/klagomålsmail/A 23400-2023 FSC-klagomål mail.docx", "A 23400-2023")</f>
        <v/>
      </c>
      <c r="AC53">
        <f>HYPERLINK("https://klasma.github.io/Logging_1256/tillsyn/A 23400-2023 tillsynsbegäran.docx", "A 23400-2023")</f>
        <v/>
      </c>
      <c r="AD53">
        <f>HYPERLINK("https://klasma.github.io/Logging_1256/tillsynsmail/A 23400-2023 tillsynsbegäran mail.docx", "A 23400-2023")</f>
        <v/>
      </c>
    </row>
    <row r="54" ht="15" customHeight="1">
      <c r="A54" t="inlineStr">
        <is>
          <t>A 29273-2023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45105</v>
      </c>
      <c r="E54" s="1" t="n">
        <v>46326</v>
      </c>
      <c r="F54" t="inlineStr">
        <is>
          <t>SKÅNE LÄN</t>
        </is>
      </c>
      <c r="G54" t="inlineStr">
        <is>
          <t>ÖSTRA GÖINGE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Nötkråka</t>
        </is>
      </c>
      <c r="W54">
        <f>HYPERLINK("https://klasma.github.io/Logging_1256/artfynd/A 29273-2023 artfynd.xlsx", "A 29273-2023")</f>
        <v/>
      </c>
      <c r="X54">
        <f>HYPERLINK("https://klasma.github.io/Logging_1256/kartor/A 29273-2023 karta.png", "A 29273-2023")</f>
        <v/>
      </c>
      <c r="Y54">
        <f>HYPERLINK("https://klasma.github.io/Logging_1256/kartor_geotiff/A 29273-2023 georefererad karta.tif", "A 29273-2023")</f>
        <v/>
      </c>
      <c r="AA54">
        <f>HYPERLINK("https://klasma.github.io/Logging_1256/klagomål/A 29273-2023 FSC-klagomål.docx", "A 29273-2023")</f>
        <v/>
      </c>
      <c r="AB54">
        <f>HYPERLINK("https://klasma.github.io/Logging_1256/klagomålsmail/A 29273-2023 FSC-klagomål mail.docx", "A 29273-2023")</f>
        <v/>
      </c>
      <c r="AC54">
        <f>HYPERLINK("https://klasma.github.io/Logging_1256/tillsyn/A 29273-2023 tillsynsbegäran.docx", "A 29273-2023")</f>
        <v/>
      </c>
      <c r="AD54">
        <f>HYPERLINK("https://klasma.github.io/Logging_1256/tillsynsmail/A 29273-2023 tillsynsbegäran mail.docx", "A 29273-2023")</f>
        <v/>
      </c>
      <c r="AE54">
        <f>HYPERLINK("https://klasma.github.io/Logging_1256/fåglar/A 29273-2023 prioriterade fågelarter.docx", "A 29273-2023")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46326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46326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46326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46326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46326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46326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46326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46326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46326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46326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46326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46326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46326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46326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46326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46326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46326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46326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46326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46326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46326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46326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46326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46326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46326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46326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46326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46326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46326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46326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46326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46326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46326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46326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46326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46326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46326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46326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46326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44727</v>
      </c>
      <c r="E94" s="1" t="n">
        <v>46326</v>
      </c>
      <c r="F94" t="inlineStr">
        <is>
          <t>SKÅNE LÄN</t>
        </is>
      </c>
      <c r="G94" t="inlineStr">
        <is>
          <t>ÖSTRA GÖINGE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20622-2022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44700</v>
      </c>
      <c r="E95" s="1" t="n">
        <v>46326</v>
      </c>
      <c r="F95" t="inlineStr">
        <is>
          <t>SKÅNE LÄN</t>
        </is>
      </c>
      <c r="G95" t="inlineStr">
        <is>
          <t>ÖSTRA GÖINGE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46326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46326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54869-2023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45229</v>
      </c>
      <c r="E98" s="1" t="n">
        <v>46326</v>
      </c>
      <c r="F98" t="inlineStr">
        <is>
          <t>SKÅNE LÄN</t>
        </is>
      </c>
      <c r="G98" t="inlineStr">
        <is>
          <t>ÖSTRA GÖINGE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69375-2021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46326</v>
      </c>
      <c r="F99" t="inlineStr">
        <is>
          <t>SKÅNE LÄN</t>
        </is>
      </c>
      <c r="G99" t="inlineStr">
        <is>
          <t>ÖSTRA GÖINGE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69393-2021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46326</v>
      </c>
      <c r="F100" t="inlineStr">
        <is>
          <t>SKÅNE LÄN</t>
        </is>
      </c>
      <c r="G100" t="inlineStr">
        <is>
          <t>ÖSTRA GÖINGE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34976-2023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46326</v>
      </c>
      <c r="F101" t="inlineStr">
        <is>
          <t>SKÅNE LÄN</t>
        </is>
      </c>
      <c r="G101" t="inlineStr">
        <is>
          <t>ÖSTRA GÖINGE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46326</v>
      </c>
      <c r="F102" t="inlineStr">
        <is>
          <t>SKÅNE LÄN</t>
        </is>
      </c>
      <c r="G102" t="inlineStr">
        <is>
          <t>ÖSTRA GÖINGE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45021</v>
      </c>
      <c r="E103" s="1" t="n">
        <v>46326</v>
      </c>
      <c r="F103" t="inlineStr">
        <is>
          <t>SKÅNE LÄN</t>
        </is>
      </c>
      <c r="G103" t="inlineStr">
        <is>
          <t>ÖSTRA GÖINGE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45082</v>
      </c>
      <c r="E104" s="1" t="n">
        <v>46326</v>
      </c>
      <c r="F104" t="inlineStr">
        <is>
          <t>SKÅNE LÄN</t>
        </is>
      </c>
      <c r="G104" t="inlineStr">
        <is>
          <t>ÖSTRA GÖINGE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45176</v>
      </c>
      <c r="E105" s="1" t="n">
        <v>46326</v>
      </c>
      <c r="F105" t="inlineStr">
        <is>
          <t>SKÅNE LÄN</t>
        </is>
      </c>
      <c r="G105" t="inlineStr">
        <is>
          <t>ÖSTRA GÖINGE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45635</v>
      </c>
      <c r="E106" s="1" t="n">
        <v>46326</v>
      </c>
      <c r="F106" t="inlineStr">
        <is>
          <t>SKÅNE LÄN</t>
        </is>
      </c>
      <c r="G106" t="inlineStr">
        <is>
          <t>ÖSTRA GÖINGE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44929</v>
      </c>
      <c r="E107" s="1" t="n">
        <v>46326</v>
      </c>
      <c r="F107" t="inlineStr">
        <is>
          <t>SKÅNE LÄN</t>
        </is>
      </c>
      <c r="G107" t="inlineStr">
        <is>
          <t>ÖSTRA GÖINGE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44557</v>
      </c>
      <c r="E108" s="1" t="n">
        <v>46326</v>
      </c>
      <c r="F108" t="inlineStr">
        <is>
          <t>SKÅNE LÄN</t>
        </is>
      </c>
      <c r="G108" t="inlineStr">
        <is>
          <t>ÖSTRA GÖINGE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46326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46326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44723</v>
      </c>
      <c r="E111" s="1" t="n">
        <v>46326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45307</v>
      </c>
      <c r="E112" s="1" t="n">
        <v>46326</v>
      </c>
      <c r="F112" t="inlineStr">
        <is>
          <t>SKÅNE LÄN</t>
        </is>
      </c>
      <c r="G112" t="inlineStr">
        <is>
          <t>ÖSTRA GÖINGE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46326</v>
      </c>
      <c r="F113" t="inlineStr">
        <is>
          <t>SKÅNE LÄN</t>
        </is>
      </c>
      <c r="G113" t="inlineStr">
        <is>
          <t>ÖSTRA GÖINGE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46326</v>
      </c>
      <c r="F114" t="inlineStr">
        <is>
          <t>SKÅNE LÄN</t>
        </is>
      </c>
      <c r="G114" t="inlineStr">
        <is>
          <t>ÖSTRA GÖINGE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45022</v>
      </c>
      <c r="E115" s="1" t="n">
        <v>46326</v>
      </c>
      <c r="F115" t="inlineStr">
        <is>
          <t>SKÅNE LÄN</t>
        </is>
      </c>
      <c r="G115" t="inlineStr">
        <is>
          <t>ÖSTRA GÖINGE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45202</v>
      </c>
      <c r="E116" s="1" t="n">
        <v>46326</v>
      </c>
      <c r="F116" t="inlineStr">
        <is>
          <t>SKÅNE LÄN</t>
        </is>
      </c>
      <c r="G116" t="inlineStr">
        <is>
          <t>ÖSTRA GÖINGE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45685</v>
      </c>
      <c r="E117" s="1" t="n">
        <v>46326</v>
      </c>
      <c r="F117" t="inlineStr">
        <is>
          <t>SKÅNE LÄN</t>
        </is>
      </c>
      <c r="G117" t="inlineStr">
        <is>
          <t>ÖSTRA GÖINGE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60394-2024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46326</v>
      </c>
      <c r="F118" t="inlineStr">
        <is>
          <t>SKÅNE LÄN</t>
        </is>
      </c>
      <c r="G118" t="inlineStr">
        <is>
          <t>ÖSTRA GÖINGE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43395-2024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46326</v>
      </c>
      <c r="F119" t="inlineStr">
        <is>
          <t>SKÅNE LÄN</t>
        </is>
      </c>
      <c r="G119" t="inlineStr">
        <is>
          <t>ÖSTRA GÖINGE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46326</v>
      </c>
      <c r="F120" t="inlineStr">
        <is>
          <t>SKÅNE LÄN</t>
        </is>
      </c>
      <c r="G120" t="inlineStr">
        <is>
          <t>ÖSTRA GÖINGE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46326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45727</v>
      </c>
      <c r="E122" s="1" t="n">
        <v>46326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45674</v>
      </c>
      <c r="E123" s="1" t="n">
        <v>46326</v>
      </c>
      <c r="F123" t="inlineStr">
        <is>
          <t>SKÅNE LÄN</t>
        </is>
      </c>
      <c r="G123" t="inlineStr">
        <is>
          <t>ÖSTRA GÖINGE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46326</v>
      </c>
      <c r="F124" t="inlineStr">
        <is>
          <t>SKÅNE LÄN</t>
        </is>
      </c>
      <c r="G124" t="inlineStr">
        <is>
          <t>ÖSTRA GÖINGE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44958</v>
      </c>
      <c r="E125" s="1" t="n">
        <v>46326</v>
      </c>
      <c r="F125" t="inlineStr">
        <is>
          <t>SKÅNE LÄN</t>
        </is>
      </c>
      <c r="G125" t="inlineStr">
        <is>
          <t>ÖSTRA GÖINGE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46326</v>
      </c>
      <c r="F126" t="inlineStr">
        <is>
          <t>SKÅNE LÄN</t>
        </is>
      </c>
      <c r="G126" t="inlineStr">
        <is>
          <t>ÖSTRA GÖINGE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46326</v>
      </c>
      <c r="F127" t="inlineStr">
        <is>
          <t>SKÅNE LÄN</t>
        </is>
      </c>
      <c r="G127" t="inlineStr">
        <is>
          <t>ÖSTRA GÖINGE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46326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46326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44897</v>
      </c>
      <c r="E130" s="1" t="n">
        <v>46326</v>
      </c>
      <c r="F130" t="inlineStr">
        <is>
          <t>SKÅNE LÄN</t>
        </is>
      </c>
      <c r="G130" t="inlineStr">
        <is>
          <t>ÖSTRA GÖINGE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46326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46326</v>
      </c>
      <c r="F132" t="inlineStr">
        <is>
          <t>SKÅNE LÄN</t>
        </is>
      </c>
      <c r="G132" t="inlineStr">
        <is>
          <t>ÖSTRA GÖINGE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46326</v>
      </c>
      <c r="F133" t="inlineStr">
        <is>
          <t>SKÅNE LÄN</t>
        </is>
      </c>
      <c r="G133" t="inlineStr">
        <is>
          <t>ÖSTRA GÖINGE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45274</v>
      </c>
      <c r="E134" s="1" t="n">
        <v>46326</v>
      </c>
      <c r="F134" t="inlineStr">
        <is>
          <t>SKÅNE LÄN</t>
        </is>
      </c>
      <c r="G134" t="inlineStr">
        <is>
          <t>ÖSTRA GÖINGE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46326</v>
      </c>
      <c r="F135" t="inlineStr">
        <is>
          <t>SKÅNE LÄN</t>
        </is>
      </c>
      <c r="G135" t="inlineStr">
        <is>
          <t>ÖSTRA GÖINGE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46326</v>
      </c>
      <c r="F136" t="inlineStr">
        <is>
          <t>SKÅNE LÄN</t>
        </is>
      </c>
      <c r="G136" t="inlineStr">
        <is>
          <t>ÖSTRA GÖINGE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46326</v>
      </c>
      <c r="F137" t="inlineStr">
        <is>
          <t>SKÅNE LÄN</t>
        </is>
      </c>
      <c r="G137" t="inlineStr">
        <is>
          <t>ÖSTRA GÖINGE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46326</v>
      </c>
      <c r="F138" t="inlineStr">
        <is>
          <t>SKÅNE LÄN</t>
        </is>
      </c>
      <c r="G138" t="inlineStr">
        <is>
          <t>ÖSTRA GÖINGE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46326</v>
      </c>
      <c r="F139" t="inlineStr">
        <is>
          <t>SKÅNE LÄN</t>
        </is>
      </c>
      <c r="G139" t="inlineStr">
        <is>
          <t>ÖSTRA GÖINGE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46326</v>
      </c>
      <c r="F140" t="inlineStr">
        <is>
          <t>SKÅNE LÄN</t>
        </is>
      </c>
      <c r="G140" t="inlineStr">
        <is>
          <t>ÖSTRA GÖINGE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46326</v>
      </c>
      <c r="F141" t="inlineStr">
        <is>
          <t>SKÅNE LÄN</t>
        </is>
      </c>
      <c r="G141" t="inlineStr">
        <is>
          <t>ÖSTRA GÖINGE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46326</v>
      </c>
      <c r="F142" t="inlineStr">
        <is>
          <t>SKÅNE LÄN</t>
        </is>
      </c>
      <c r="G142" t="inlineStr">
        <is>
          <t>ÖSTRA GÖINGE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46326</v>
      </c>
      <c r="F143" t="inlineStr">
        <is>
          <t>SKÅNE LÄN</t>
        </is>
      </c>
      <c r="G143" t="inlineStr">
        <is>
          <t>ÖSTRA GÖINGE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46326</v>
      </c>
      <c r="F144" t="inlineStr">
        <is>
          <t>SKÅNE LÄN</t>
        </is>
      </c>
      <c r="G144" t="inlineStr">
        <is>
          <t>ÖSTRA GÖINGE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46326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36324-2022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44803</v>
      </c>
      <c r="E146" s="1" t="n">
        <v>46326</v>
      </c>
      <c r="F146" t="inlineStr">
        <is>
          <t>SKÅNE LÄN</t>
        </is>
      </c>
      <c r="G146" t="inlineStr">
        <is>
          <t>ÖSTRA GÖINGE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45188</v>
      </c>
      <c r="E147" s="1" t="n">
        <v>46326</v>
      </c>
      <c r="F147" t="inlineStr">
        <is>
          <t>SKÅNE LÄN</t>
        </is>
      </c>
      <c r="G147" t="inlineStr">
        <is>
          <t>ÖSTRA GÖINGE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44915</v>
      </c>
      <c r="E148" s="1" t="n">
        <v>46326</v>
      </c>
      <c r="F148" t="inlineStr">
        <is>
          <t>SKÅNE LÄN</t>
        </is>
      </c>
      <c r="G148" t="inlineStr">
        <is>
          <t>ÖSTRA GÖINGE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46326</v>
      </c>
      <c r="F149" t="inlineStr">
        <is>
          <t>SKÅNE LÄN</t>
        </is>
      </c>
      <c r="G149" t="inlineStr">
        <is>
          <t>ÖSTRA GÖINGE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46326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53688-2024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46326</v>
      </c>
      <c r="F151" t="inlineStr">
        <is>
          <t>SKÅNE LÄN</t>
        </is>
      </c>
      <c r="G151" t="inlineStr">
        <is>
          <t>ÖSTRA GÖINGE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45475</v>
      </c>
      <c r="E152" s="1" t="n">
        <v>46326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46326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46326</v>
      </c>
      <c r="F154" t="inlineStr">
        <is>
          <t>SKÅNE LÄN</t>
        </is>
      </c>
      <c r="G154" t="inlineStr">
        <is>
          <t>ÖSTRA GÖINGE</t>
        </is>
      </c>
      <c r="H154" t="inlineStr">
        <is>
          <t>Kyrkan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46326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45539</v>
      </c>
      <c r="E156" s="1" t="n">
        <v>46326</v>
      </c>
      <c r="F156" t="inlineStr">
        <is>
          <t>SKÅNE LÄN</t>
        </is>
      </c>
      <c r="G156" t="inlineStr">
        <is>
          <t>ÖSTRA GÖINGE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46326</v>
      </c>
      <c r="F157" t="inlineStr">
        <is>
          <t>SKÅNE LÄN</t>
        </is>
      </c>
      <c r="G157" t="inlineStr">
        <is>
          <t>ÖSTRA GÖINGE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46326</v>
      </c>
      <c r="F158" t="inlineStr">
        <is>
          <t>SKÅNE LÄN</t>
        </is>
      </c>
      <c r="G158" t="inlineStr">
        <is>
          <t>ÖSTRA GÖINGE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46326</v>
      </c>
      <c r="F159" t="inlineStr">
        <is>
          <t>SKÅNE LÄN</t>
        </is>
      </c>
      <c r="G159" t="inlineStr">
        <is>
          <t>ÖSTRA GÖINGE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46326</v>
      </c>
      <c r="F160" t="inlineStr">
        <is>
          <t>SKÅNE LÄN</t>
        </is>
      </c>
      <c r="G160" t="inlineStr">
        <is>
          <t>ÖSTRA GÖINGE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46326</v>
      </c>
      <c r="F161" t="inlineStr">
        <is>
          <t>SKÅNE LÄN</t>
        </is>
      </c>
      <c r="G161" t="inlineStr">
        <is>
          <t>ÖSTRA GÖINGE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46326</v>
      </c>
      <c r="F162" t="inlineStr">
        <is>
          <t>SKÅNE LÄN</t>
        </is>
      </c>
      <c r="G162" t="inlineStr">
        <is>
          <t>ÖSTRA GÖINGE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46326</v>
      </c>
      <c r="F163" t="inlineStr">
        <is>
          <t>SKÅNE LÄN</t>
        </is>
      </c>
      <c r="G163" t="inlineStr">
        <is>
          <t>ÖSTRA GÖINGE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46326</v>
      </c>
      <c r="F164" t="inlineStr">
        <is>
          <t>SKÅNE LÄN</t>
        </is>
      </c>
      <c r="G164" t="inlineStr">
        <is>
          <t>ÖSTRA GÖINGE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46326</v>
      </c>
      <c r="F165" t="inlineStr">
        <is>
          <t>SKÅNE LÄN</t>
        </is>
      </c>
      <c r="G165" t="inlineStr">
        <is>
          <t>ÖSTRA GÖINGE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46326</v>
      </c>
      <c r="F166" t="inlineStr">
        <is>
          <t>SKÅNE LÄN</t>
        </is>
      </c>
      <c r="G166" t="inlineStr">
        <is>
          <t>ÖSTRA GÖINGE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46326</v>
      </c>
      <c r="F167" t="inlineStr">
        <is>
          <t>SKÅNE LÄN</t>
        </is>
      </c>
      <c r="G167" t="inlineStr">
        <is>
          <t>ÖSTRA GÖINGE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31858-2025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46326</v>
      </c>
      <c r="F168" t="inlineStr">
        <is>
          <t>SKÅNE LÄN</t>
        </is>
      </c>
      <c r="G168" t="inlineStr">
        <is>
          <t>ÖSTRA GÖINGE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46326</v>
      </c>
      <c r="F169" t="inlineStr">
        <is>
          <t>SKÅNE LÄN</t>
        </is>
      </c>
      <c r="G169" t="inlineStr">
        <is>
          <t>ÖSTRA GÖINGE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46326</v>
      </c>
      <c r="F170" t="inlineStr">
        <is>
          <t>SKÅNE LÄN</t>
        </is>
      </c>
      <c r="G170" t="inlineStr">
        <is>
          <t>ÖSTRA GÖINGE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45428</v>
      </c>
      <c r="E171" s="1" t="n">
        <v>46326</v>
      </c>
      <c r="F171" t="inlineStr">
        <is>
          <t>SKÅNE LÄN</t>
        </is>
      </c>
      <c r="G171" t="inlineStr">
        <is>
          <t>ÖSTRA GÖINGE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46326</v>
      </c>
      <c r="F172" t="inlineStr">
        <is>
          <t>SKÅNE LÄN</t>
        </is>
      </c>
      <c r="G172" t="inlineStr">
        <is>
          <t>ÖSTRA GÖINGE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46326</v>
      </c>
      <c r="F173" t="inlineStr">
        <is>
          <t>SKÅNE LÄN</t>
        </is>
      </c>
      <c r="G173" t="inlineStr">
        <is>
          <t>ÖSTRA GÖINGE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46326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45848</v>
      </c>
      <c r="E175" s="1" t="n">
        <v>46326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15057-2023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46326</v>
      </c>
      <c r="F176" t="inlineStr">
        <is>
          <t>SKÅNE LÄN</t>
        </is>
      </c>
      <c r="G176" t="inlineStr">
        <is>
          <t>ÖSTRA GÖINGE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45636</v>
      </c>
      <c r="E177" s="1" t="n">
        <v>46326</v>
      </c>
      <c r="F177" t="inlineStr">
        <is>
          <t>SKÅNE LÄN</t>
        </is>
      </c>
      <c r="G177" t="inlineStr">
        <is>
          <t>ÖSTRA GÖINGE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46326</v>
      </c>
      <c r="F178" t="inlineStr">
        <is>
          <t>SKÅNE LÄN</t>
        </is>
      </c>
      <c r="G178" t="inlineStr">
        <is>
          <t>ÖSTRA GÖINGE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46326</v>
      </c>
      <c r="F179" t="inlineStr">
        <is>
          <t>SKÅNE LÄN</t>
        </is>
      </c>
      <c r="G179" t="inlineStr">
        <is>
          <t>ÖSTRA GÖINGE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45443</v>
      </c>
      <c r="E180" s="1" t="n">
        <v>46326</v>
      </c>
      <c r="F180" t="inlineStr">
        <is>
          <t>SKÅNE LÄN</t>
        </is>
      </c>
      <c r="G180" t="inlineStr">
        <is>
          <t>ÖSTRA GÖINGE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45601</v>
      </c>
      <c r="E181" s="1" t="n">
        <v>46326</v>
      </c>
      <c r="F181" t="inlineStr">
        <is>
          <t>SKÅNE LÄN</t>
        </is>
      </c>
      <c r="G181" t="inlineStr">
        <is>
          <t>ÖSTRA GÖINGE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45146</v>
      </c>
      <c r="E182" s="1" t="n">
        <v>46326</v>
      </c>
      <c r="F182" t="inlineStr">
        <is>
          <t>SKÅNE LÄN</t>
        </is>
      </c>
      <c r="G182" t="inlineStr">
        <is>
          <t>ÖSTRA GÖINGE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46326</v>
      </c>
      <c r="F183" t="inlineStr">
        <is>
          <t>SKÅNE LÄN</t>
        </is>
      </c>
      <c r="G183" t="inlineStr">
        <is>
          <t>ÖSTRA GÖINGE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44896</v>
      </c>
      <c r="E184" s="1" t="n">
        <v>46326</v>
      </c>
      <c r="F184" t="inlineStr">
        <is>
          <t>SKÅNE LÄN</t>
        </is>
      </c>
      <c r="G184" t="inlineStr">
        <is>
          <t>ÖSTRA GÖINGE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45489</v>
      </c>
      <c r="E185" s="1" t="n">
        <v>46326</v>
      </c>
      <c r="F185" t="inlineStr">
        <is>
          <t>SKÅNE LÄN</t>
        </is>
      </c>
      <c r="G185" t="inlineStr">
        <is>
          <t>ÖSTRA GÖINGE</t>
        </is>
      </c>
      <c r="I185" t="n">
        <v>11.9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45686</v>
      </c>
      <c r="E186" s="1" t="n">
        <v>46326</v>
      </c>
      <c r="F186" t="inlineStr">
        <is>
          <t>SKÅNE LÄN</t>
        </is>
      </c>
      <c r="G186" t="inlineStr">
        <is>
          <t>ÖSTRA GÖINGE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45935</v>
      </c>
      <c r="E187" s="1" t="n">
        <v>46326</v>
      </c>
      <c r="F187" t="inlineStr">
        <is>
          <t>SKÅNE LÄN</t>
        </is>
      </c>
      <c r="G187" t="inlineStr">
        <is>
          <t>ÖSTRA GÖINGE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44602</v>
      </c>
      <c r="E188" s="1" t="n">
        <v>46326</v>
      </c>
      <c r="F188" t="inlineStr">
        <is>
          <t>SKÅNE LÄN</t>
        </is>
      </c>
      <c r="G188" t="inlineStr">
        <is>
          <t>ÖSTRA GÖINGE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46326</v>
      </c>
      <c r="F189" t="inlineStr">
        <is>
          <t>SKÅNE LÄN</t>
        </is>
      </c>
      <c r="G189" t="inlineStr">
        <is>
          <t>ÖSTRA GÖINGE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45316</v>
      </c>
      <c r="E190" s="1" t="n">
        <v>46326</v>
      </c>
      <c r="F190" t="inlineStr">
        <is>
          <t>SKÅNE LÄN</t>
        </is>
      </c>
      <c r="G190" t="inlineStr">
        <is>
          <t>ÖSTRA GÖINGE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46326</v>
      </c>
      <c r="F191" t="inlineStr">
        <is>
          <t>SKÅNE LÄN</t>
        </is>
      </c>
      <c r="G191" t="inlineStr">
        <is>
          <t>ÖSTRA GÖINGE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10937-2022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44627</v>
      </c>
      <c r="E192" s="1" t="n">
        <v>46326</v>
      </c>
      <c r="F192" t="inlineStr">
        <is>
          <t>SKÅNE LÄN</t>
        </is>
      </c>
      <c r="G192" t="inlineStr">
        <is>
          <t>ÖSTRA GÖINGE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44937</v>
      </c>
      <c r="E193" s="1" t="n">
        <v>46326</v>
      </c>
      <c r="F193" t="inlineStr">
        <is>
          <t>SKÅNE LÄN</t>
        </is>
      </c>
      <c r="G193" t="inlineStr">
        <is>
          <t>ÖSTRA GÖINGE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46326</v>
      </c>
      <c r="F194" t="inlineStr">
        <is>
          <t>SKÅNE LÄN</t>
        </is>
      </c>
      <c r="G194" t="inlineStr">
        <is>
          <t>ÖSTRA GÖINGE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71741-2021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44539</v>
      </c>
      <c r="E195" s="1" t="n">
        <v>46326</v>
      </c>
      <c r="F195" t="inlineStr">
        <is>
          <t>SKÅNE LÄN</t>
        </is>
      </c>
      <c r="G195" t="inlineStr">
        <is>
          <t>ÖSTRA GÖINGE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46326</v>
      </c>
      <c r="F196" t="inlineStr">
        <is>
          <t>SKÅNE LÄN</t>
        </is>
      </c>
      <c r="G196" t="inlineStr">
        <is>
          <t>ÖSTRA GÖINGE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46326</v>
      </c>
      <c r="F197" t="inlineStr">
        <is>
          <t>SKÅNE LÄN</t>
        </is>
      </c>
      <c r="G197" t="inlineStr">
        <is>
          <t>ÖSTRA GÖINGE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46326</v>
      </c>
      <c r="F198" t="inlineStr">
        <is>
          <t>SKÅNE LÄN</t>
        </is>
      </c>
      <c r="G198" t="inlineStr">
        <is>
          <t>ÖSTRA GÖINGE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7057-2026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46057</v>
      </c>
      <c r="E199" s="1" t="n">
        <v>46326</v>
      </c>
      <c r="F199" t="inlineStr">
        <is>
          <t>SKÅNE LÄN</t>
        </is>
      </c>
      <c r="G199" t="inlineStr">
        <is>
          <t>ÖSTRA GÖINGE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46279-2024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45581</v>
      </c>
      <c r="E200" s="1" t="n">
        <v>46326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46326</v>
      </c>
      <c r="F201" t="inlineStr">
        <is>
          <t>SKÅNE LÄN</t>
        </is>
      </c>
      <c r="G201" t="inlineStr">
        <is>
          <t>ÖSTRA GÖINGE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45331</v>
      </c>
      <c r="E202" s="1" t="n">
        <v>46326</v>
      </c>
      <c r="F202" t="inlineStr">
        <is>
          <t>SKÅNE LÄN</t>
        </is>
      </c>
      <c r="G202" t="inlineStr">
        <is>
          <t>ÖSTRA GÖINGE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44853</v>
      </c>
      <c r="E203" s="1" t="n">
        <v>46326</v>
      </c>
      <c r="F203" t="inlineStr">
        <is>
          <t>SKÅNE LÄN</t>
        </is>
      </c>
      <c r="G203" t="inlineStr">
        <is>
          <t>ÖSTRA GÖINGE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46326</v>
      </c>
      <c r="F204" t="inlineStr">
        <is>
          <t>SKÅNE LÄN</t>
        </is>
      </c>
      <c r="G204" t="inlineStr">
        <is>
          <t>ÖSTRA GÖINGE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46326</v>
      </c>
      <c r="F205" t="inlineStr">
        <is>
          <t>SKÅNE LÄN</t>
        </is>
      </c>
      <c r="G205" t="inlineStr">
        <is>
          <t>ÖSTRA GÖINGE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45082</v>
      </c>
      <c r="E206" s="1" t="n">
        <v>46326</v>
      </c>
      <c r="F206" t="inlineStr">
        <is>
          <t>SKÅNE LÄN</t>
        </is>
      </c>
      <c r="G206" t="inlineStr">
        <is>
          <t>ÖSTRA GÖINGE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46326</v>
      </c>
      <c r="F207" t="inlineStr">
        <is>
          <t>SKÅNE LÄN</t>
        </is>
      </c>
      <c r="G207" t="inlineStr">
        <is>
          <t>ÖSTRA GÖINGE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57539-2022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44896</v>
      </c>
      <c r="E208" s="1" t="n">
        <v>46326</v>
      </c>
      <c r="F208" t="inlineStr">
        <is>
          <t>SKÅNE LÄN</t>
        </is>
      </c>
      <c r="G208" t="inlineStr">
        <is>
          <t>ÖSTRA GÖINGE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57547-2022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46326</v>
      </c>
      <c r="F209" t="inlineStr">
        <is>
          <t>SKÅNE LÄN</t>
        </is>
      </c>
      <c r="G209" t="inlineStr">
        <is>
          <t>ÖSTRA GÖINGE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46326</v>
      </c>
      <c r="F210" t="inlineStr">
        <is>
          <t>SKÅNE LÄN</t>
        </is>
      </c>
      <c r="G210" t="inlineStr">
        <is>
          <t>ÖSTRA GÖINGE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46326</v>
      </c>
      <c r="F211" t="inlineStr">
        <is>
          <t>SKÅNE LÄN</t>
        </is>
      </c>
      <c r="G211" t="inlineStr">
        <is>
          <t>ÖSTRA GÖINGE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46326</v>
      </c>
      <c r="F212" t="inlineStr">
        <is>
          <t>SKÅNE LÄN</t>
        </is>
      </c>
      <c r="G212" t="inlineStr">
        <is>
          <t>ÖSTRA GÖINGE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45645</v>
      </c>
      <c r="E213" s="1" t="n">
        <v>46326</v>
      </c>
      <c r="F213" t="inlineStr">
        <is>
          <t>SKÅNE LÄN</t>
        </is>
      </c>
      <c r="G213" t="inlineStr">
        <is>
          <t>ÖSTRA GÖINGE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16743-2024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45410</v>
      </c>
      <c r="E214" s="1" t="n">
        <v>46326</v>
      </c>
      <c r="F214" t="inlineStr">
        <is>
          <t>SKÅNE LÄN</t>
        </is>
      </c>
      <c r="G214" t="inlineStr">
        <is>
          <t>ÖSTRA GÖINGE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46326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46326</v>
      </c>
      <c r="F216" t="inlineStr">
        <is>
          <t>SKÅNE LÄN</t>
        </is>
      </c>
      <c r="G216" t="inlineStr">
        <is>
          <t>ÖSTRA GÖINGE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46326</v>
      </c>
      <c r="F217" t="inlineStr">
        <is>
          <t>SKÅNE LÄN</t>
        </is>
      </c>
      <c r="G217" t="inlineStr">
        <is>
          <t>ÖSTRA GÖINGE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46326</v>
      </c>
      <c r="F218" t="inlineStr">
        <is>
          <t>SKÅNE LÄN</t>
        </is>
      </c>
      <c r="G218" t="inlineStr">
        <is>
          <t>ÖSTRA GÖINGE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55310-2025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45970</v>
      </c>
      <c r="E219" s="1" t="n">
        <v>46326</v>
      </c>
      <c r="F219" t="inlineStr">
        <is>
          <t>SKÅNE LÄN</t>
        </is>
      </c>
      <c r="G219" t="inlineStr">
        <is>
          <t>ÖSTRA GÖINGE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45975</v>
      </c>
      <c r="E220" s="1" t="n">
        <v>46326</v>
      </c>
      <c r="F220" t="inlineStr">
        <is>
          <t>SKÅNE LÄN</t>
        </is>
      </c>
      <c r="G220" t="inlineStr">
        <is>
          <t>ÖSTRA GÖINGE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46326</v>
      </c>
      <c r="F221" t="inlineStr">
        <is>
          <t>SKÅNE LÄN</t>
        </is>
      </c>
      <c r="G221" t="inlineStr">
        <is>
          <t>ÖSTRA GÖINGE</t>
        </is>
      </c>
      <c r="I221" t="n">
        <v>12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46326</v>
      </c>
      <c r="F222" t="inlineStr">
        <is>
          <t>SKÅNE LÄN</t>
        </is>
      </c>
      <c r="G222" t="inlineStr">
        <is>
          <t>ÖSTRA GÖINGE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46326</v>
      </c>
      <c r="F223" t="inlineStr">
        <is>
          <t>SKÅNE LÄN</t>
        </is>
      </c>
      <c r="G223" t="inlineStr">
        <is>
          <t>ÖSTRA GÖINGE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45856</v>
      </c>
      <c r="E224" s="1" t="n">
        <v>46326</v>
      </c>
      <c r="F224" t="inlineStr">
        <is>
          <t>SKÅNE LÄN</t>
        </is>
      </c>
      <c r="G224" t="inlineStr">
        <is>
          <t>ÖSTRA GÖINGE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46326</v>
      </c>
      <c r="F225" t="inlineStr">
        <is>
          <t>SKÅNE LÄN</t>
        </is>
      </c>
      <c r="G225" t="inlineStr">
        <is>
          <t>ÖSTRA GÖINGE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46326</v>
      </c>
      <c r="F226" t="inlineStr">
        <is>
          <t>SKÅNE LÄN</t>
        </is>
      </c>
      <c r="G226" t="inlineStr">
        <is>
          <t>ÖSTRA GÖINGE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45172</v>
      </c>
      <c r="E227" s="1" t="n">
        <v>46326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46326</v>
      </c>
      <c r="F228" t="inlineStr">
        <is>
          <t>SKÅNE LÄN</t>
        </is>
      </c>
      <c r="G228" t="inlineStr">
        <is>
          <t>ÖSTRA GÖINGE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46326</v>
      </c>
      <c r="F229" t="inlineStr">
        <is>
          <t>SKÅNE LÄN</t>
        </is>
      </c>
      <c r="G229" t="inlineStr">
        <is>
          <t>ÖSTRA GÖINGE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45029</v>
      </c>
      <c r="E230" s="1" t="n">
        <v>46326</v>
      </c>
      <c r="F230" t="inlineStr">
        <is>
          <t>SKÅNE LÄN</t>
        </is>
      </c>
      <c r="G230" t="inlineStr">
        <is>
          <t>ÖSTRA GÖINGE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15993-2024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45405</v>
      </c>
      <c r="E231" s="1" t="n">
        <v>46326</v>
      </c>
      <c r="F231" t="inlineStr">
        <is>
          <t>SKÅNE LÄN</t>
        </is>
      </c>
      <c r="G231" t="inlineStr">
        <is>
          <t>ÖSTRA GÖINGE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44958</v>
      </c>
      <c r="E232" s="1" t="n">
        <v>46326</v>
      </c>
      <c r="F232" t="inlineStr">
        <is>
          <t>SKÅNE LÄN</t>
        </is>
      </c>
      <c r="G232" t="inlineStr">
        <is>
          <t>ÖSTRA GÖINGE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44852</v>
      </c>
      <c r="E233" s="1" t="n">
        <v>46326</v>
      </c>
      <c r="F233" t="inlineStr">
        <is>
          <t>SKÅNE LÄN</t>
        </is>
      </c>
      <c r="G233" t="inlineStr">
        <is>
          <t>ÖSTRA GÖINGE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46326</v>
      </c>
      <c r="F234" t="inlineStr">
        <is>
          <t>SKÅNE LÄN</t>
        </is>
      </c>
      <c r="G234" t="inlineStr">
        <is>
          <t>ÖSTRA GÖINGE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46326</v>
      </c>
      <c r="F235" t="inlineStr">
        <is>
          <t>SKÅNE LÄN</t>
        </is>
      </c>
      <c r="G235" t="inlineStr">
        <is>
          <t>ÖSTRA GÖINGE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37550-2024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45541</v>
      </c>
      <c r="E236" s="1" t="n">
        <v>46326</v>
      </c>
      <c r="F236" t="inlineStr">
        <is>
          <t>SKÅNE LÄN</t>
        </is>
      </c>
      <c r="G236" t="inlineStr">
        <is>
          <t>ÖSTRA GÖINGE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46326</v>
      </c>
      <c r="F237" t="inlineStr">
        <is>
          <t>SKÅNE LÄN</t>
        </is>
      </c>
      <c r="G237" t="inlineStr">
        <is>
          <t>ÖSTRA GÖINGE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46326</v>
      </c>
      <c r="F238" t="inlineStr">
        <is>
          <t>SKÅNE LÄN</t>
        </is>
      </c>
      <c r="G238" t="inlineStr">
        <is>
          <t>ÖSTRA GÖINGE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44606</v>
      </c>
      <c r="E239" s="1" t="n">
        <v>46326</v>
      </c>
      <c r="F239" t="inlineStr">
        <is>
          <t>SKÅNE LÄN</t>
        </is>
      </c>
      <c r="G239" t="inlineStr">
        <is>
          <t>ÖSTRA GÖINGE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58279-2024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45632</v>
      </c>
      <c r="E240" s="1" t="n">
        <v>46326</v>
      </c>
      <c r="F240" t="inlineStr">
        <is>
          <t>SKÅNE LÄN</t>
        </is>
      </c>
      <c r="G240" t="inlineStr">
        <is>
          <t>ÖSTRA GÖINGE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59601-2023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45254</v>
      </c>
      <c r="E241" s="1" t="n">
        <v>46326</v>
      </c>
      <c r="F241" t="inlineStr">
        <is>
          <t>SKÅNE LÄN</t>
        </is>
      </c>
      <c r="G241" t="inlineStr">
        <is>
          <t>ÖSTRA GÖINGE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46326</v>
      </c>
      <c r="F242" t="inlineStr">
        <is>
          <t>SKÅNE LÄN</t>
        </is>
      </c>
      <c r="G242" t="inlineStr">
        <is>
          <t>ÖSTRA GÖINGE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46326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46326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45198</v>
      </c>
      <c r="E245" s="1" t="n">
        <v>46326</v>
      </c>
      <c r="F245" t="inlineStr">
        <is>
          <t>SKÅNE LÄN</t>
        </is>
      </c>
      <c r="G245" t="inlineStr">
        <is>
          <t>ÖSTRA GÖINGE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59201-2022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44897</v>
      </c>
      <c r="E246" s="1" t="n">
        <v>46326</v>
      </c>
      <c r="F246" t="inlineStr">
        <is>
          <t>SKÅNE LÄN</t>
        </is>
      </c>
      <c r="G246" t="inlineStr">
        <is>
          <t>ÖSTRA GÖINGE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69383-2021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44531</v>
      </c>
      <c r="E247" s="1" t="n">
        <v>46326</v>
      </c>
      <c r="F247" t="inlineStr">
        <is>
          <t>SKÅNE LÄN</t>
        </is>
      </c>
      <c r="G247" t="inlineStr">
        <is>
          <t>ÖSTRA GÖINGE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69390-2021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46326</v>
      </c>
      <c r="F248" t="inlineStr">
        <is>
          <t>SKÅNE LÄN</t>
        </is>
      </c>
      <c r="G248" t="inlineStr">
        <is>
          <t>ÖSTRA GÖINGE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62052-2022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44918</v>
      </c>
      <c r="E249" s="1" t="n">
        <v>46326</v>
      </c>
      <c r="F249" t="inlineStr">
        <is>
          <t>SKÅNE LÄN</t>
        </is>
      </c>
      <c r="G249" t="inlineStr">
        <is>
          <t>ÖSTRA GÖINGE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45156</v>
      </c>
      <c r="E250" s="1" t="n">
        <v>46326</v>
      </c>
      <c r="F250" t="inlineStr">
        <is>
          <t>SKÅNE LÄN</t>
        </is>
      </c>
      <c r="G250" t="inlineStr">
        <is>
          <t>ÖSTRA GÖINGE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64181-2023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45279</v>
      </c>
      <c r="E251" s="1" t="n">
        <v>46326</v>
      </c>
      <c r="F251" t="inlineStr">
        <is>
          <t>SKÅNE LÄN</t>
        </is>
      </c>
      <c r="G251" t="inlineStr">
        <is>
          <t>ÖSTRA GÖINGE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46326</v>
      </c>
      <c r="F252" t="inlineStr">
        <is>
          <t>SKÅNE LÄN</t>
        </is>
      </c>
      <c r="G252" t="inlineStr">
        <is>
          <t>ÖSTRA GÖINGE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45622</v>
      </c>
      <c r="E253" s="1" t="n">
        <v>46326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45310</v>
      </c>
      <c r="E254" s="1" t="n">
        <v>46326</v>
      </c>
      <c r="F254" t="inlineStr">
        <is>
          <t>SKÅNE LÄN</t>
        </is>
      </c>
      <c r="G254" t="inlineStr">
        <is>
          <t>ÖSTRA GÖINGE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46326</v>
      </c>
      <c r="F255" t="inlineStr">
        <is>
          <t>SKÅNE LÄN</t>
        </is>
      </c>
      <c r="G255" t="inlineStr">
        <is>
          <t>ÖSTRA GÖINGE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46326</v>
      </c>
      <c r="F256" t="inlineStr">
        <is>
          <t>SKÅNE LÄN</t>
        </is>
      </c>
      <c r="G256" t="inlineStr">
        <is>
          <t>ÖSTRA GÖINGE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44935</v>
      </c>
      <c r="E257" s="1" t="n">
        <v>46326</v>
      </c>
      <c r="F257" t="inlineStr">
        <is>
          <t>SKÅNE LÄN</t>
        </is>
      </c>
      <c r="G257" t="inlineStr">
        <is>
          <t>ÖSTRA GÖINGE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46326</v>
      </c>
      <c r="F258" t="inlineStr">
        <is>
          <t>SKÅNE LÄN</t>
        </is>
      </c>
      <c r="G258" t="inlineStr">
        <is>
          <t>ÖSTRA GÖINGE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46326</v>
      </c>
      <c r="F259" t="inlineStr">
        <is>
          <t>SKÅNE LÄN</t>
        </is>
      </c>
      <c r="G259" t="inlineStr">
        <is>
          <t>ÖSTRA GÖINGE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46326</v>
      </c>
      <c r="F260" t="inlineStr">
        <is>
          <t>SKÅNE LÄN</t>
        </is>
      </c>
      <c r="G260" t="inlineStr">
        <is>
          <t>ÖSTRA GÖINGE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46326</v>
      </c>
      <c r="F261" t="inlineStr">
        <is>
          <t>SKÅNE LÄN</t>
        </is>
      </c>
      <c r="G261" t="inlineStr">
        <is>
          <t>ÖSTRA GÖINGE</t>
        </is>
      </c>
      <c r="I261" t="n">
        <v>10.6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45146</v>
      </c>
      <c r="E262" s="1" t="n">
        <v>46326</v>
      </c>
      <c r="F262" t="inlineStr">
        <is>
          <t>SKÅNE LÄN</t>
        </is>
      </c>
      <c r="G262" t="inlineStr">
        <is>
          <t>ÖSTRA GÖINGE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46326</v>
      </c>
      <c r="F263" t="inlineStr">
        <is>
          <t>SKÅNE LÄN</t>
        </is>
      </c>
      <c r="G263" t="inlineStr">
        <is>
          <t>ÖSTRA GÖINGE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44873</v>
      </c>
      <c r="E264" s="1" t="n">
        <v>46326</v>
      </c>
      <c r="F264" t="inlineStr">
        <is>
          <t>SKÅNE LÄN</t>
        </is>
      </c>
      <c r="G264" t="inlineStr">
        <is>
          <t>ÖSTRA GÖINGE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46326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46326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46326</v>
      </c>
      <c r="F267" t="inlineStr">
        <is>
          <t>SKÅNE LÄN</t>
        </is>
      </c>
      <c r="G267" t="inlineStr">
        <is>
          <t>ÖSTRA GÖINGE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45408</v>
      </c>
      <c r="E268" s="1" t="n">
        <v>46326</v>
      </c>
      <c r="F268" t="inlineStr">
        <is>
          <t>SKÅNE LÄN</t>
        </is>
      </c>
      <c r="G268" t="inlineStr">
        <is>
          <t>ÖSTRA GÖINGE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45139</v>
      </c>
      <c r="E269" s="1" t="n">
        <v>46326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46326</v>
      </c>
      <c r="F270" t="inlineStr">
        <is>
          <t>SKÅNE LÄN</t>
        </is>
      </c>
      <c r="G270" t="inlineStr">
        <is>
          <t>ÖSTRA GÖINGE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46326</v>
      </c>
      <c r="F271" t="inlineStr">
        <is>
          <t>SKÅNE LÄN</t>
        </is>
      </c>
      <c r="G271" t="inlineStr">
        <is>
          <t>ÖSTRA GÖINGE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44937</v>
      </c>
      <c r="E272" s="1" t="n">
        <v>46326</v>
      </c>
      <c r="F272" t="inlineStr">
        <is>
          <t>SKÅNE LÄN</t>
        </is>
      </c>
      <c r="G272" t="inlineStr">
        <is>
          <t>ÖSTRA GÖINGE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66526-2021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44519</v>
      </c>
      <c r="E273" s="1" t="n">
        <v>46326</v>
      </c>
      <c r="F273" t="inlineStr">
        <is>
          <t>SKÅNE LÄN</t>
        </is>
      </c>
      <c r="G273" t="inlineStr">
        <is>
          <t>ÖSTRA GÖINGE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44929</v>
      </c>
      <c r="E274" s="1" t="n">
        <v>46326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46326</v>
      </c>
      <c r="F275" t="inlineStr">
        <is>
          <t>SKÅNE LÄN</t>
        </is>
      </c>
      <c r="G275" t="inlineStr">
        <is>
          <t>ÖSTRA GÖINGE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45386</v>
      </c>
      <c r="E276" s="1" t="n">
        <v>46326</v>
      </c>
      <c r="F276" t="inlineStr">
        <is>
          <t>SKÅNE LÄN</t>
        </is>
      </c>
      <c r="G276" t="inlineStr">
        <is>
          <t>ÖSTRA GÖINGE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18540-2022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44686</v>
      </c>
      <c r="E277" s="1" t="n">
        <v>46326</v>
      </c>
      <c r="F277" t="inlineStr">
        <is>
          <t>SKÅNE LÄN</t>
        </is>
      </c>
      <c r="G277" t="inlineStr">
        <is>
          <t>ÖSTRA GÖINGE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20407-2024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45435</v>
      </c>
      <c r="E278" s="1" t="n">
        <v>46326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46326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46326</v>
      </c>
      <c r="F280" t="inlineStr">
        <is>
          <t>SKÅNE LÄN</t>
        </is>
      </c>
      <c r="G280" t="inlineStr">
        <is>
          <t>ÖSTRA GÖINGE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42192-2023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45179</v>
      </c>
      <c r="E281" s="1" t="n">
        <v>46326</v>
      </c>
      <c r="F281" t="inlineStr">
        <is>
          <t>SKÅNE LÄN</t>
        </is>
      </c>
      <c r="G281" t="inlineStr">
        <is>
          <t>ÖSTRA GÖINGE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45029</v>
      </c>
      <c r="E282" s="1" t="n">
        <v>46326</v>
      </c>
      <c r="F282" t="inlineStr">
        <is>
          <t>SKÅNE LÄN</t>
        </is>
      </c>
      <c r="G282" t="inlineStr">
        <is>
          <t>ÖSTRA GÖINGE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19192-2026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46326</v>
      </c>
      <c r="F283" t="inlineStr">
        <is>
          <t>SKÅNE LÄN</t>
        </is>
      </c>
      <c r="G283" t="inlineStr">
        <is>
          <t>ÖSTRA GÖINGE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46326</v>
      </c>
      <c r="F284" t="inlineStr">
        <is>
          <t>SKÅNE LÄN</t>
        </is>
      </c>
      <c r="G284" t="inlineStr">
        <is>
          <t>ÖSTRA GÖINGE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46326</v>
      </c>
      <c r="F285" t="inlineStr">
        <is>
          <t>SKÅNE LÄN</t>
        </is>
      </c>
      <c r="G285" t="inlineStr">
        <is>
          <t>ÖSTRA GÖINGE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46326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46326</v>
      </c>
      <c r="F287" t="inlineStr">
        <is>
          <t>SKÅNE LÄN</t>
        </is>
      </c>
      <c r="G287" t="inlineStr">
        <is>
          <t>ÖSTRA GÖINGE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46326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46326</v>
      </c>
      <c r="F289" t="inlineStr">
        <is>
          <t>SKÅNE LÄN</t>
        </is>
      </c>
      <c r="G289" t="inlineStr">
        <is>
          <t>ÖSTRA GÖINGE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19236-2026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46326</v>
      </c>
      <c r="F290" t="inlineStr">
        <is>
          <t>SKÅNE LÄN</t>
        </is>
      </c>
      <c r="G290" t="inlineStr">
        <is>
          <t>ÖSTRA GÖINGE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60251-2022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44910</v>
      </c>
      <c r="E291" s="1" t="n">
        <v>46326</v>
      </c>
      <c r="F291" t="inlineStr">
        <is>
          <t>SKÅNE LÄN</t>
        </is>
      </c>
      <c r="G291" t="inlineStr">
        <is>
          <t>ÖSTRA GÖINGE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45820</v>
      </c>
      <c r="E292" s="1" t="n">
        <v>46326</v>
      </c>
      <c r="F292" t="inlineStr">
        <is>
          <t>SKÅNE LÄN</t>
        </is>
      </c>
      <c r="G292" t="inlineStr">
        <is>
          <t>ÖSTRA GÖINGE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46326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45568</v>
      </c>
      <c r="E294" s="1" t="n">
        <v>46326</v>
      </c>
      <c r="F294" t="inlineStr">
        <is>
          <t>SKÅNE LÄN</t>
        </is>
      </c>
      <c r="G294" t="inlineStr">
        <is>
          <t>ÖSTRA GÖINGE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46326</v>
      </c>
      <c r="F295" t="inlineStr">
        <is>
          <t>SKÅNE LÄN</t>
        </is>
      </c>
      <c r="G295" t="inlineStr">
        <is>
          <t>ÖSTRA GÖINGE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41548-2022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44826</v>
      </c>
      <c r="E296" s="1" t="n">
        <v>46326</v>
      </c>
      <c r="F296" t="inlineStr">
        <is>
          <t>SKÅNE LÄN</t>
        </is>
      </c>
      <c r="G296" t="inlineStr">
        <is>
          <t>ÖSTRA GÖINGE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46326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46326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45141</v>
      </c>
      <c r="E299" s="1" t="n">
        <v>46326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46326</v>
      </c>
      <c r="F300" t="inlineStr">
        <is>
          <t>SKÅNE LÄN</t>
        </is>
      </c>
      <c r="G300" t="inlineStr">
        <is>
          <t>ÖSTRA GÖINGE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45349</v>
      </c>
      <c r="E301" s="1" t="n">
        <v>46326</v>
      </c>
      <c r="F301" t="inlineStr">
        <is>
          <t>SKÅNE LÄN</t>
        </is>
      </c>
      <c r="G301" t="inlineStr">
        <is>
          <t>ÖSTRA GÖINGE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44981</v>
      </c>
      <c r="E302" s="1" t="n">
        <v>46326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45727</v>
      </c>
      <c r="E303" s="1" t="n">
        <v>46326</v>
      </c>
      <c r="F303" t="inlineStr">
        <is>
          <t>SKÅNE LÄN</t>
        </is>
      </c>
      <c r="G303" t="inlineStr">
        <is>
          <t>ÖSTRA GÖINGE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45483</v>
      </c>
      <c r="E304" s="1" t="n">
        <v>46326</v>
      </c>
      <c r="F304" t="inlineStr">
        <is>
          <t>SKÅNE LÄN</t>
        </is>
      </c>
      <c r="G304" t="inlineStr">
        <is>
          <t>ÖSTRA GÖINGE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46326</v>
      </c>
      <c r="F305" t="inlineStr">
        <is>
          <t>SKÅNE LÄN</t>
        </is>
      </c>
      <c r="G305" t="inlineStr">
        <is>
          <t>ÖSTRA GÖINGE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45874</v>
      </c>
      <c r="E306" s="1" t="n">
        <v>46326</v>
      </c>
      <c r="F306" t="inlineStr">
        <is>
          <t>SKÅNE LÄN</t>
        </is>
      </c>
      <c r="G306" t="inlineStr">
        <is>
          <t>ÖSTRA GÖINGE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74142-2021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44557</v>
      </c>
      <c r="E307" s="1" t="n">
        <v>46326</v>
      </c>
      <c r="F307" t="inlineStr">
        <is>
          <t>SKÅNE LÄN</t>
        </is>
      </c>
      <c r="G307" t="inlineStr">
        <is>
          <t>ÖSTRA GÖINGE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55490-2022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44887</v>
      </c>
      <c r="E308" s="1" t="n">
        <v>46326</v>
      </c>
      <c r="F308" t="inlineStr">
        <is>
          <t>SKÅNE LÄN</t>
        </is>
      </c>
      <c r="G308" t="inlineStr">
        <is>
          <t>ÖSTRA GÖINGE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45256</v>
      </c>
      <c r="E309" s="1" t="n">
        <v>46326</v>
      </c>
      <c r="F309" t="inlineStr">
        <is>
          <t>SKÅNE LÄN</t>
        </is>
      </c>
      <c r="G309" t="inlineStr">
        <is>
          <t>ÖSTRA GÖINGE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45583</v>
      </c>
      <c r="E310" s="1" t="n">
        <v>46326</v>
      </c>
      <c r="F310" t="inlineStr">
        <is>
          <t>SKÅNE LÄN</t>
        </is>
      </c>
      <c r="G310" t="inlineStr">
        <is>
          <t>ÖSTRA GÖINGE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46142</v>
      </c>
      <c r="E311" s="1" t="n">
        <v>46326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46326</v>
      </c>
      <c r="F312" t="inlineStr">
        <is>
          <t>SKÅNE LÄN</t>
        </is>
      </c>
      <c r="G312" t="inlineStr">
        <is>
          <t>ÖSTRA GÖINGE</t>
        </is>
      </c>
      <c r="I312" t="n">
        <v>15.4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21260-2026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46147</v>
      </c>
      <c r="E313" s="1" t="n">
        <v>46326</v>
      </c>
      <c r="F313" t="inlineStr">
        <is>
          <t>SKÅNE LÄN</t>
        </is>
      </c>
      <c r="G313" t="inlineStr">
        <is>
          <t>ÖSTRA GÖINGE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46326</v>
      </c>
      <c r="F314" t="inlineStr">
        <is>
          <t>SKÅNE LÄN</t>
        </is>
      </c>
      <c r="G314" t="inlineStr">
        <is>
          <t>ÖSTRA GÖINGE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71747-2021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44539</v>
      </c>
      <c r="E315" s="1" t="n">
        <v>46326</v>
      </c>
      <c r="F315" t="inlineStr">
        <is>
          <t>SKÅNE LÄN</t>
        </is>
      </c>
      <c r="G315" t="inlineStr">
        <is>
          <t>ÖSTRA GÖINGE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57487-2023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46326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44977</v>
      </c>
      <c r="E317" s="1" t="n">
        <v>46326</v>
      </c>
      <c r="F317" t="inlineStr">
        <is>
          <t>SKÅNE LÄN</t>
        </is>
      </c>
      <c r="G317" t="inlineStr">
        <is>
          <t>ÖSTRA GÖINGE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43224-2024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45567</v>
      </c>
      <c r="E318" s="1" t="n">
        <v>46326</v>
      </c>
      <c r="F318" t="inlineStr">
        <is>
          <t>SKÅNE LÄN</t>
        </is>
      </c>
      <c r="G318" t="inlineStr">
        <is>
          <t>ÖSTRA GÖINGE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46326</v>
      </c>
      <c r="F319" t="inlineStr">
        <is>
          <t>SKÅNE LÄN</t>
        </is>
      </c>
      <c r="G319" t="inlineStr">
        <is>
          <t>ÖSTRA GÖINGE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22327-2026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46154</v>
      </c>
      <c r="E320" s="1" t="n">
        <v>46326</v>
      </c>
      <c r="F320" t="inlineStr">
        <is>
          <t>SKÅNE LÄN</t>
        </is>
      </c>
      <c r="G320" t="inlineStr">
        <is>
          <t>ÖSTRA GÖINGE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46326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45574</v>
      </c>
      <c r="E322" s="1" t="n">
        <v>46326</v>
      </c>
      <c r="F322" t="inlineStr">
        <is>
          <t>SKÅNE LÄN</t>
        </is>
      </c>
      <c r="G322" t="inlineStr">
        <is>
          <t>ÖSTRA GÖINGE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46326</v>
      </c>
      <c r="F323" t="inlineStr">
        <is>
          <t>SKÅNE LÄN</t>
        </is>
      </c>
      <c r="G323" t="inlineStr">
        <is>
          <t>ÖSTRA GÖINGE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46326</v>
      </c>
      <c r="F324" t="inlineStr">
        <is>
          <t>SKÅNE LÄN</t>
        </is>
      </c>
      <c r="G324" t="inlineStr">
        <is>
          <t>ÖSTRA GÖINGE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46326</v>
      </c>
      <c r="F325" t="inlineStr">
        <is>
          <t>SKÅNE LÄN</t>
        </is>
      </c>
      <c r="G325" t="inlineStr">
        <is>
          <t>ÖSTRA GÖINGE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35171-2024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45530</v>
      </c>
      <c r="E326" s="1" t="n">
        <v>46326</v>
      </c>
      <c r="F326" t="inlineStr">
        <is>
          <t>SKÅNE LÄN</t>
        </is>
      </c>
      <c r="G326" t="inlineStr">
        <is>
          <t>ÖSTRA GÖINGE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46326</v>
      </c>
      <c r="F327" t="inlineStr">
        <is>
          <t>SKÅNE LÄN</t>
        </is>
      </c>
      <c r="G327" t="inlineStr">
        <is>
          <t>ÖSTRA GÖINGE</t>
        </is>
      </c>
      <c r="I327" t="n">
        <v>12.8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45733</v>
      </c>
      <c r="E328" s="1" t="n">
        <v>46326</v>
      </c>
      <c r="F328" t="inlineStr">
        <is>
          <t>SKÅNE LÄN</t>
        </is>
      </c>
      <c r="G328" t="inlineStr">
        <is>
          <t>ÖSTRA GÖINGE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46326</v>
      </c>
      <c r="F329" t="inlineStr">
        <is>
          <t>SKÅNE LÄN</t>
        </is>
      </c>
      <c r="G329" t="inlineStr">
        <is>
          <t>ÖSTRA GÖINGE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45686</v>
      </c>
      <c r="E330" s="1" t="n">
        <v>46326</v>
      </c>
      <c r="F330" t="inlineStr">
        <is>
          <t>SKÅNE LÄN</t>
        </is>
      </c>
      <c r="G330" t="inlineStr">
        <is>
          <t>ÖSTRA GÖINGE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5098-2022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44593</v>
      </c>
      <c r="E331" s="1" t="n">
        <v>46326</v>
      </c>
      <c r="F331" t="inlineStr">
        <is>
          <t>SKÅNE LÄN</t>
        </is>
      </c>
      <c r="G331" t="inlineStr">
        <is>
          <t>ÖSTRA GÖINGE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46326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45117</v>
      </c>
      <c r="E333" s="1" t="n">
        <v>46326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46326</v>
      </c>
      <c r="F334" t="inlineStr">
        <is>
          <t>SKÅNE LÄN</t>
        </is>
      </c>
      <c r="G334" t="inlineStr">
        <is>
          <t>ÖSTRA GÖINGE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46326</v>
      </c>
      <c r="F335" t="inlineStr">
        <is>
          <t>SKÅNE LÄN</t>
        </is>
      </c>
      <c r="G335" t="inlineStr">
        <is>
          <t>ÖSTRA GÖINGE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44859</v>
      </c>
      <c r="E336" s="1" t="n">
        <v>46326</v>
      </c>
      <c r="F336" t="inlineStr">
        <is>
          <t>SKÅNE LÄN</t>
        </is>
      </c>
      <c r="G336" t="inlineStr">
        <is>
          <t>ÖSTRA GÖINGE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44958</v>
      </c>
      <c r="E337" s="1" t="n">
        <v>46326</v>
      </c>
      <c r="F337" t="inlineStr">
        <is>
          <t>SKÅNE LÄN</t>
        </is>
      </c>
      <c r="G337" t="inlineStr">
        <is>
          <t>ÖSTRA GÖINGE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44840</v>
      </c>
      <c r="E338" s="1" t="n">
        <v>46326</v>
      </c>
      <c r="F338" t="inlineStr">
        <is>
          <t>SKÅNE LÄN</t>
        </is>
      </c>
      <c r="G338" t="inlineStr">
        <is>
          <t>ÖSTRA GÖINGE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46326</v>
      </c>
      <c r="F339" t="inlineStr">
        <is>
          <t>SKÅNE LÄN</t>
        </is>
      </c>
      <c r="G339" t="inlineStr">
        <is>
          <t>ÖSTRA GÖINGE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46326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36921-2024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45538</v>
      </c>
      <c r="E341" s="1" t="n">
        <v>46326</v>
      </c>
      <c r="F341" t="inlineStr">
        <is>
          <t>SKÅNE LÄN</t>
        </is>
      </c>
      <c r="G341" t="inlineStr">
        <is>
          <t>ÖSTRA GÖINGE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44585</v>
      </c>
      <c r="E342" s="1" t="n">
        <v>46326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46326</v>
      </c>
      <c r="F343" t="inlineStr">
        <is>
          <t>SKÅNE LÄN</t>
        </is>
      </c>
      <c r="G343" t="inlineStr">
        <is>
          <t>ÖSTRA GÖINGE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3781-2024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46326</v>
      </c>
      <c r="F344" t="inlineStr">
        <is>
          <t>SKÅNE LÄN</t>
        </is>
      </c>
      <c r="G344" t="inlineStr">
        <is>
          <t>ÖSTRA GÖINGE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46326</v>
      </c>
      <c r="F345" t="inlineStr">
        <is>
          <t>SKÅNE LÄN</t>
        </is>
      </c>
      <c r="G345" t="inlineStr">
        <is>
          <t>ÖSTRA GÖINGE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45735</v>
      </c>
      <c r="E346" s="1" t="n">
        <v>46326</v>
      </c>
      <c r="F346" t="inlineStr">
        <is>
          <t>SKÅNE LÄN</t>
        </is>
      </c>
      <c r="G346" t="inlineStr">
        <is>
          <t>ÖSTRA GÖINGE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69387-2021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44531</v>
      </c>
      <c r="E347" s="1" t="n">
        <v>46326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45362</v>
      </c>
      <c r="E348" s="1" t="n">
        <v>46326</v>
      </c>
      <c r="F348" t="inlineStr">
        <is>
          <t>SKÅNE LÄN</t>
        </is>
      </c>
      <c r="G348" t="inlineStr">
        <is>
          <t>ÖSTRA GÖINGE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44930</v>
      </c>
      <c r="E349" s="1" t="n">
        <v>46326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46326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46326</v>
      </c>
      <c r="F351" t="inlineStr">
        <is>
          <t>SKÅNE LÄN</t>
        </is>
      </c>
      <c r="G351" t="inlineStr">
        <is>
          <t>ÖSTRA GÖINGE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26467-2026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46326</v>
      </c>
      <c r="F352" t="inlineStr">
        <is>
          <t>SKÅNE LÄN</t>
        </is>
      </c>
      <c r="G352" t="inlineStr">
        <is>
          <t>ÖSTRA GÖINGE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46326</v>
      </c>
      <c r="F353" t="inlineStr">
        <is>
          <t>SKÅNE LÄN</t>
        </is>
      </c>
      <c r="G353" t="inlineStr">
        <is>
          <t>ÖSTRA GÖINGE</t>
        </is>
      </c>
      <c r="I353" t="n">
        <v>34.5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46326</v>
      </c>
      <c r="F354" t="inlineStr">
        <is>
          <t>SKÅNE LÄN</t>
        </is>
      </c>
      <c r="G354" t="inlineStr">
        <is>
          <t>ÖSTRA GÖINGE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46326</v>
      </c>
      <c r="F355" t="inlineStr">
        <is>
          <t>SKÅNE LÄN</t>
        </is>
      </c>
      <c r="G355" t="inlineStr">
        <is>
          <t>ÖSTRA GÖINGE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57521-2022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44896</v>
      </c>
      <c r="E356" s="1" t="n">
        <v>46326</v>
      </c>
      <c r="F356" t="inlineStr">
        <is>
          <t>SKÅNE LÄN</t>
        </is>
      </c>
      <c r="G356" t="inlineStr">
        <is>
          <t>ÖSTRA GÖINGE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44623</v>
      </c>
      <c r="E357" s="1" t="n">
        <v>46326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46326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45727</v>
      </c>
      <c r="E359" s="1" t="n">
        <v>46326</v>
      </c>
      <c r="F359" t="inlineStr">
        <is>
          <t>SKÅNE LÄN</t>
        </is>
      </c>
      <c r="G359" t="inlineStr">
        <is>
          <t>ÖSTRA GÖINGE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45205</v>
      </c>
      <c r="E360" s="1" t="n">
        <v>46326</v>
      </c>
      <c r="F360" t="inlineStr">
        <is>
          <t>SKÅNE LÄN</t>
        </is>
      </c>
      <c r="G360" t="inlineStr">
        <is>
          <t>ÖSTRA GÖINGE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45489</v>
      </c>
      <c r="E361" s="1" t="n">
        <v>46326</v>
      </c>
      <c r="F361" t="inlineStr">
        <is>
          <t>SKÅNE LÄN</t>
        </is>
      </c>
      <c r="G361" t="inlineStr">
        <is>
          <t>ÖSTRA GÖINGE</t>
        </is>
      </c>
      <c r="I361" t="n">
        <v>8.1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45105</v>
      </c>
      <c r="E362" s="1" t="n">
        <v>46326</v>
      </c>
      <c r="F362" t="inlineStr">
        <is>
          <t>SKÅNE LÄN</t>
        </is>
      </c>
      <c r="G362" t="inlineStr">
        <is>
          <t>ÖSTRA GÖINGE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11631-2024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45373</v>
      </c>
      <c r="E363" s="1" t="n">
        <v>46326</v>
      </c>
      <c r="F363" t="inlineStr">
        <is>
          <t>SKÅNE LÄN</t>
        </is>
      </c>
      <c r="G363" t="inlineStr">
        <is>
          <t>ÖSTRA GÖINGE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44742</v>
      </c>
      <c r="E364" s="1" t="n">
        <v>46326</v>
      </c>
      <c r="F364" t="inlineStr">
        <is>
          <t>SKÅNE LÄN</t>
        </is>
      </c>
      <c r="G364" t="inlineStr">
        <is>
          <t>ÖSTRA GÖINGE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46326</v>
      </c>
      <c r="F365" t="inlineStr">
        <is>
          <t>SKÅNE LÄN</t>
        </is>
      </c>
      <c r="G365" t="inlineStr">
        <is>
          <t>ÖSTRA GÖINGE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55489-2022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44887</v>
      </c>
      <c r="E366" s="1" t="n">
        <v>46326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45758</v>
      </c>
      <c r="E367" s="1" t="n">
        <v>46326</v>
      </c>
      <c r="F367" t="inlineStr">
        <is>
          <t>SKÅNE LÄN</t>
        </is>
      </c>
      <c r="G367" t="inlineStr">
        <is>
          <t>ÖSTRA GÖINGE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46326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46326</v>
      </c>
      <c r="F369" t="inlineStr">
        <is>
          <t>SKÅNE LÄN</t>
        </is>
      </c>
      <c r="G369" t="inlineStr">
        <is>
          <t>ÖSTRA GÖINGE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50370-2024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45601</v>
      </c>
      <c r="E370" s="1" t="n">
        <v>46326</v>
      </c>
      <c r="F370" t="inlineStr">
        <is>
          <t>SKÅNE LÄN</t>
        </is>
      </c>
      <c r="G370" t="inlineStr">
        <is>
          <t>ÖSTRA GÖINGE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55716-2024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45622</v>
      </c>
      <c r="E371" s="1" t="n">
        <v>46326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44958</v>
      </c>
      <c r="E372" s="1" t="n">
        <v>46326</v>
      </c>
      <c r="F372" t="inlineStr">
        <is>
          <t>SKÅNE LÄN</t>
        </is>
      </c>
      <c r="G372" t="inlineStr">
        <is>
          <t>ÖSTRA GÖINGE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46326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44842-2024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45574</v>
      </c>
      <c r="E374" s="1" t="n">
        <v>46326</v>
      </c>
      <c r="F374" t="inlineStr">
        <is>
          <t>SKÅNE LÄN</t>
        </is>
      </c>
      <c r="G374" t="inlineStr">
        <is>
          <t>ÖSTRA GÖINGE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23402-2023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45076</v>
      </c>
      <c r="E375" s="1" t="n">
        <v>46326</v>
      </c>
      <c r="F375" t="inlineStr">
        <is>
          <t>SKÅNE LÄN</t>
        </is>
      </c>
      <c r="G375" t="inlineStr">
        <is>
          <t>ÖSTRA GÖINGE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23403-2023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46326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30111-2026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46206</v>
      </c>
      <c r="E377" s="1" t="n">
        <v>46326</v>
      </c>
      <c r="F377" t="inlineStr">
        <is>
          <t>SKÅNE LÄN</t>
        </is>
      </c>
      <c r="G377" t="inlineStr">
        <is>
          <t>ÖSTRA GÖINGE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44796</v>
      </c>
      <c r="E378" s="1" t="n">
        <v>46326</v>
      </c>
      <c r="F378" t="inlineStr">
        <is>
          <t>SKÅNE LÄN</t>
        </is>
      </c>
      <c r="G378" t="inlineStr">
        <is>
          <t>ÖSTRA GÖINGE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31627-2023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45117</v>
      </c>
      <c r="E379" s="1" t="n">
        <v>46326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29856-2026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46326</v>
      </c>
      <c r="F380" t="inlineStr">
        <is>
          <t>SKÅNE LÄN</t>
        </is>
      </c>
      <c r="G380" t="inlineStr">
        <is>
          <t>ÖSTRA GÖINGE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46205</v>
      </c>
      <c r="E381" s="1" t="n">
        <v>46326</v>
      </c>
      <c r="F381" t="inlineStr">
        <is>
          <t>SKÅNE LÄN</t>
        </is>
      </c>
      <c r="G381" t="inlineStr">
        <is>
          <t>ÖSTRA GÖINGE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46326</v>
      </c>
      <c r="F382" t="inlineStr">
        <is>
          <t>SKÅNE LÄN</t>
        </is>
      </c>
      <c r="G382" t="inlineStr">
        <is>
          <t>ÖSTRA GÖINGE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46326</v>
      </c>
      <c r="F383" t="inlineStr">
        <is>
          <t>SKÅNE LÄN</t>
        </is>
      </c>
      <c r="G383" t="inlineStr">
        <is>
          <t>ÖSTRA GÖINGE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46326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24020-2023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45078</v>
      </c>
      <c r="E385" s="1" t="n">
        <v>46326</v>
      </c>
      <c r="F385" t="inlineStr">
        <is>
          <t>SKÅNE LÄN</t>
        </is>
      </c>
      <c r="G385" t="inlineStr">
        <is>
          <t>ÖSTRA GÖINGE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49228-2023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46326</v>
      </c>
      <c r="F386" t="inlineStr">
        <is>
          <t>SKÅNE LÄN</t>
        </is>
      </c>
      <c r="G386" t="inlineStr">
        <is>
          <t>ÖSTRA GÖINGE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45774</v>
      </c>
      <c r="E387" s="1" t="n">
        <v>46326</v>
      </c>
      <c r="F387" t="inlineStr">
        <is>
          <t>SKÅNE LÄN</t>
        </is>
      </c>
      <c r="G387" t="inlineStr">
        <is>
          <t>ÖSTRA GÖINGE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46326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46326</v>
      </c>
      <c r="F389" t="inlineStr">
        <is>
          <t>SKÅNE LÄN</t>
        </is>
      </c>
      <c r="G389" t="inlineStr">
        <is>
          <t>ÖSTRA GÖINGE</t>
        </is>
      </c>
      <c r="I389" t="n">
        <v>8.6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46326</v>
      </c>
      <c r="F390" t="inlineStr">
        <is>
          <t>SKÅNE LÄN</t>
        </is>
      </c>
      <c r="G390" t="inlineStr">
        <is>
          <t>ÖSTRA GÖINGE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46326</v>
      </c>
      <c r="F391" t="inlineStr">
        <is>
          <t>SKÅNE LÄN</t>
        </is>
      </c>
      <c r="G391" t="inlineStr">
        <is>
          <t>ÖSTRA GÖINGE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45138</v>
      </c>
      <c r="E392" s="1" t="n">
        <v>46326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45076</v>
      </c>
      <c r="E393" s="1" t="n">
        <v>46326</v>
      </c>
      <c r="F393" t="inlineStr">
        <is>
          <t>SKÅNE LÄN</t>
        </is>
      </c>
      <c r="G393" t="inlineStr">
        <is>
          <t>ÖSTRA GÖINGE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45765</v>
      </c>
      <c r="E394" s="1" t="n">
        <v>46326</v>
      </c>
      <c r="F394" t="inlineStr">
        <is>
          <t>SKÅNE LÄN</t>
        </is>
      </c>
      <c r="G394" t="inlineStr">
        <is>
          <t>ÖSTRA GÖINGE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46326</v>
      </c>
      <c r="F395" t="inlineStr">
        <is>
          <t>SKÅNE LÄN</t>
        </is>
      </c>
      <c r="G395" t="inlineStr">
        <is>
          <t>ÖSTRA GÖINGE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46326</v>
      </c>
      <c r="F396" t="inlineStr">
        <is>
          <t>SKÅNE LÄN</t>
        </is>
      </c>
      <c r="G396" t="inlineStr">
        <is>
          <t>ÖSTRA GÖINGE</t>
        </is>
      </c>
      <c r="I396" t="n">
        <v>8.300000000000001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45076</v>
      </c>
      <c r="E397" s="1" t="n">
        <v>46326</v>
      </c>
      <c r="F397" t="inlineStr">
        <is>
          <t>SKÅNE LÄN</t>
        </is>
      </c>
      <c r="G397" t="inlineStr">
        <is>
          <t>ÖSTRA GÖINGE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45316</v>
      </c>
      <c r="E398" s="1" t="n">
        <v>46326</v>
      </c>
      <c r="F398" t="inlineStr">
        <is>
          <t>SKÅNE LÄN</t>
        </is>
      </c>
      <c r="G398" t="inlineStr">
        <is>
          <t>ÖSTRA GÖINGE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32982-2026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46241</v>
      </c>
      <c r="E399" s="1" t="n">
        <v>46326</v>
      </c>
      <c r="F399" t="inlineStr">
        <is>
          <t>SKÅNE LÄN</t>
        </is>
      </c>
      <c r="G399" t="inlineStr">
        <is>
          <t>ÖSTRA GÖINGE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45321</v>
      </c>
      <c r="E400" s="1" t="n">
        <v>46326</v>
      </c>
      <c r="F400" t="inlineStr">
        <is>
          <t>SKÅNE LÄN</t>
        </is>
      </c>
      <c r="G400" t="inlineStr">
        <is>
          <t>ÖSTRA GÖINGE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45147</v>
      </c>
      <c r="E401" s="1" t="n">
        <v>46326</v>
      </c>
      <c r="F401" t="inlineStr">
        <is>
          <t>SKÅNE LÄN</t>
        </is>
      </c>
      <c r="G401" t="inlineStr">
        <is>
          <t>ÖSTRA GÖINGE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44810</v>
      </c>
      <c r="E402" s="1" t="n">
        <v>46326</v>
      </c>
      <c r="F402" t="inlineStr">
        <is>
          <t>SKÅNE LÄN</t>
        </is>
      </c>
      <c r="G402" t="inlineStr">
        <is>
          <t>ÖSTRA GÖINGE</t>
        </is>
      </c>
      <c r="H402" t="inlineStr">
        <is>
          <t>Kyrkan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44946</v>
      </c>
      <c r="E403" s="1" t="n">
        <v>46326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46326</v>
      </c>
      <c r="F404" t="inlineStr">
        <is>
          <t>SKÅNE LÄN</t>
        </is>
      </c>
      <c r="G404" t="inlineStr">
        <is>
          <t>ÖSTRA GÖINGE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45267</v>
      </c>
      <c r="E405" s="1" t="n">
        <v>46326</v>
      </c>
      <c r="F405" t="inlineStr">
        <is>
          <t>SKÅNE LÄN</t>
        </is>
      </c>
      <c r="G405" t="inlineStr">
        <is>
          <t>ÖSTRA GÖINGE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44992</v>
      </c>
      <c r="E406" s="1" t="n">
        <v>46326</v>
      </c>
      <c r="F406" t="inlineStr">
        <is>
          <t>SKÅNE LÄN</t>
        </is>
      </c>
      <c r="G406" t="inlineStr">
        <is>
          <t>ÖSTRA GÖINGE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46287</v>
      </c>
      <c r="E407" s="1" t="n">
        <v>46326</v>
      </c>
      <c r="F407" t="inlineStr">
        <is>
          <t>SKÅNE LÄN</t>
        </is>
      </c>
      <c r="G407" t="inlineStr">
        <is>
          <t>ÖSTRA GÖINGE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39585-2026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46289</v>
      </c>
      <c r="E408" s="1" t="n">
        <v>46326</v>
      </c>
      <c r="F408" t="inlineStr">
        <is>
          <t>SKÅNE LÄN</t>
        </is>
      </c>
      <c r="G408" t="inlineStr">
        <is>
          <t>ÖSTRA GÖINGE</t>
        </is>
      </c>
      <c r="H408" t="inlineStr">
        <is>
          <t>Sveaskog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45203</v>
      </c>
      <c r="E409" s="1" t="n">
        <v>46326</v>
      </c>
      <c r="F409" t="inlineStr">
        <is>
          <t>SKÅNE LÄN</t>
        </is>
      </c>
      <c r="G409" t="inlineStr">
        <is>
          <t>ÖSTRA GÖINGE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45310</v>
      </c>
      <c r="E410" s="1" t="n">
        <v>46326</v>
      </c>
      <c r="F410" t="inlineStr">
        <is>
          <t>SKÅNE LÄN</t>
        </is>
      </c>
      <c r="G410" t="inlineStr">
        <is>
          <t>ÖSTRA GÖINGE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32514-2023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45121</v>
      </c>
      <c r="E411" s="1" t="n">
        <v>46326</v>
      </c>
      <c r="F411" t="inlineStr">
        <is>
          <t>SKÅNE LÄN</t>
        </is>
      </c>
      <c r="G411" t="inlineStr">
        <is>
          <t>ÖSTRA GÖINGE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45706</v>
      </c>
      <c r="E412" s="1" t="n">
        <v>46326</v>
      </c>
      <c r="F412" t="inlineStr">
        <is>
          <t>SKÅNE LÄN</t>
        </is>
      </c>
      <c r="G412" t="inlineStr">
        <is>
          <t>ÖSTRA GÖINGE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46290</v>
      </c>
      <c r="E413" s="1" t="n">
        <v>46326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45564</v>
      </c>
      <c r="E414" s="1" t="n">
        <v>46326</v>
      </c>
      <c r="F414" t="inlineStr">
        <is>
          <t>SKÅNE LÄN</t>
        </is>
      </c>
      <c r="G414" t="inlineStr">
        <is>
          <t>ÖSTRA GÖINGE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33552-2026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46248</v>
      </c>
      <c r="E415" s="1" t="n">
        <v>46326</v>
      </c>
      <c r="F415" t="inlineStr">
        <is>
          <t>SKÅNE LÄN</t>
        </is>
      </c>
      <c r="G415" t="inlineStr">
        <is>
          <t>ÖSTRA GÖINGE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46290</v>
      </c>
      <c r="E416" s="1" t="n">
        <v>46326</v>
      </c>
      <c r="F416" t="inlineStr">
        <is>
          <t>SKÅNE LÄN</t>
        </is>
      </c>
      <c r="G416" t="inlineStr">
        <is>
          <t>ÖSTRA GÖINGE</t>
        </is>
      </c>
      <c r="I416" t="n">
        <v>8.199999999999999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16261-2023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45022</v>
      </c>
      <c r="E417" s="1" t="n">
        <v>46326</v>
      </c>
      <c r="F417" t="inlineStr">
        <is>
          <t>SKÅNE LÄN</t>
        </is>
      </c>
      <c r="G417" t="inlineStr">
        <is>
          <t>ÖSTRA GÖINGE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45699</v>
      </c>
      <c r="E418" s="1" t="n">
        <v>46326</v>
      </c>
      <c r="F418" t="inlineStr">
        <is>
          <t>SKÅNE LÄN</t>
        </is>
      </c>
      <c r="G418" t="inlineStr">
        <is>
          <t>ÖSTRA GÖINGE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46326</v>
      </c>
      <c r="F419" t="inlineStr">
        <is>
          <t>SKÅNE LÄN</t>
        </is>
      </c>
      <c r="G419" t="inlineStr">
        <is>
          <t>ÖSTRA GÖINGE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45643</v>
      </c>
      <c r="E420" s="1" t="n">
        <v>46326</v>
      </c>
      <c r="F420" t="inlineStr">
        <is>
          <t>SKÅNE LÄN</t>
        </is>
      </c>
      <c r="G420" t="inlineStr">
        <is>
          <t>ÖSTRA GÖINGE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45797</v>
      </c>
      <c r="E421" s="1" t="n">
        <v>46326</v>
      </c>
      <c r="F421" t="inlineStr">
        <is>
          <t>SKÅNE LÄN</t>
        </is>
      </c>
      <c r="G421" t="inlineStr">
        <is>
          <t>ÖSTRA GÖINGE</t>
        </is>
      </c>
      <c r="H421" t="inlineStr">
        <is>
          <t>Sveaskog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46294</v>
      </c>
      <c r="E422" s="1" t="n">
        <v>46326</v>
      </c>
      <c r="F422" t="inlineStr">
        <is>
          <t>SKÅNE LÄN</t>
        </is>
      </c>
      <c r="G422" t="inlineStr">
        <is>
          <t>ÖSTRA GÖINGE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45700</v>
      </c>
      <c r="E423" s="1" t="n">
        <v>46326</v>
      </c>
      <c r="F423" t="inlineStr">
        <is>
          <t>SKÅNE LÄN</t>
        </is>
      </c>
      <c r="G423" t="inlineStr">
        <is>
          <t>ÖSTRA GÖINGE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46297</v>
      </c>
      <c r="E424" s="1" t="n">
        <v>46326</v>
      </c>
      <c r="F424" t="inlineStr">
        <is>
          <t>SKÅNE LÄN</t>
        </is>
      </c>
      <c r="G424" t="inlineStr">
        <is>
          <t>ÖSTRA GÖINGE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46326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41040-2026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46299</v>
      </c>
      <c r="E426" s="1" t="n">
        <v>46326</v>
      </c>
      <c r="F426" t="inlineStr">
        <is>
          <t>SKÅNE LÄN</t>
        </is>
      </c>
      <c r="G426" t="inlineStr">
        <is>
          <t>ÖSTRA GÖINGE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34695-2026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46258</v>
      </c>
      <c r="E427" s="1" t="n">
        <v>46326</v>
      </c>
      <c r="F427" t="inlineStr">
        <is>
          <t>SKÅNE LÄN</t>
        </is>
      </c>
      <c r="G427" t="inlineStr">
        <is>
          <t>ÖSTRA GÖINGE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45821</v>
      </c>
      <c r="E428" s="1" t="n">
        <v>46326</v>
      </c>
      <c r="F428" t="inlineStr">
        <is>
          <t>SKÅNE LÄN</t>
        </is>
      </c>
      <c r="G428" t="inlineStr">
        <is>
          <t>ÖSTRA GÖINGE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34840-2026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46258</v>
      </c>
      <c r="E429" s="1" t="n">
        <v>46326</v>
      </c>
      <c r="F429" t="inlineStr">
        <is>
          <t>SKÅNE LÄN</t>
        </is>
      </c>
      <c r="G429" t="inlineStr">
        <is>
          <t>ÖSTRA GÖINGE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46326</v>
      </c>
      <c r="F430" t="inlineStr">
        <is>
          <t>SKÅNE LÄN</t>
        </is>
      </c>
      <c r="G430" t="inlineStr">
        <is>
          <t>ÖSTRA GÖINGE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42380-2026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46307</v>
      </c>
      <c r="E431" s="1" t="n">
        <v>46326</v>
      </c>
      <c r="F431" t="inlineStr">
        <is>
          <t>SKÅNE LÄN</t>
        </is>
      </c>
      <c r="G431" t="inlineStr">
        <is>
          <t>ÖSTRA GÖINGE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42448-2026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46308</v>
      </c>
      <c r="E432" s="1" t="n">
        <v>46326</v>
      </c>
      <c r="F432" t="inlineStr">
        <is>
          <t>SKÅNE LÄN</t>
        </is>
      </c>
      <c r="G432" t="inlineStr">
        <is>
          <t>ÖSTRA GÖINGE</t>
        </is>
      </c>
      <c r="I432" t="n">
        <v>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35755-2026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46326</v>
      </c>
      <c r="F433" t="inlineStr">
        <is>
          <t>SKÅNE LÄN</t>
        </is>
      </c>
      <c r="G433" t="inlineStr">
        <is>
          <t>ÖSTRA GÖINGE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46326</v>
      </c>
      <c r="F434" t="inlineStr">
        <is>
          <t>SKÅNE LÄN</t>
        </is>
      </c>
      <c r="G434" t="inlineStr">
        <is>
          <t>ÖSTRA GÖINGE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43522-2026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46315</v>
      </c>
      <c r="E435" s="1" t="n">
        <v>46326</v>
      </c>
      <c r="F435" t="inlineStr">
        <is>
          <t>SKÅNE LÄN</t>
        </is>
      </c>
      <c r="G435" t="inlineStr">
        <is>
          <t>ÖSTRA GÖINGE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43524-2026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46315</v>
      </c>
      <c r="E436" s="1" t="n">
        <v>46326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43241-2026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46314</v>
      </c>
      <c r="E437" s="1" t="n">
        <v>46326</v>
      </c>
      <c r="F437" t="inlineStr">
        <is>
          <t>SKÅNE LÄN</t>
        </is>
      </c>
      <c r="G437" t="inlineStr">
        <is>
          <t>ÖSTRA GÖINGE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46274</v>
      </c>
      <c r="E438" s="1" t="n">
        <v>46326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37147-2026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46274</v>
      </c>
      <c r="E439" s="1" t="n">
        <v>46326</v>
      </c>
      <c r="F439" t="inlineStr">
        <is>
          <t>SKÅNE LÄN</t>
        </is>
      </c>
      <c r="G439" t="inlineStr">
        <is>
          <t>ÖSTRA GÖINGE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46275</v>
      </c>
      <c r="E440" s="1" t="n">
        <v>46326</v>
      </c>
      <c r="F440" t="inlineStr">
        <is>
          <t>SKÅNE LÄN</t>
        </is>
      </c>
      <c r="G440" t="inlineStr">
        <is>
          <t>ÖSTRA GÖINGE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37426-2026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46275</v>
      </c>
      <c r="E441" s="1" t="n">
        <v>46326</v>
      </c>
      <c r="F441" t="inlineStr">
        <is>
          <t>SKÅNE LÄN</t>
        </is>
      </c>
      <c r="G441" t="inlineStr">
        <is>
          <t>ÖSTRA GÖINGE</t>
        </is>
      </c>
      <c r="I441" t="n">
        <v>8.9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46258</v>
      </c>
      <c r="E442" s="1" t="n">
        <v>46326</v>
      </c>
      <c r="F442" t="inlineStr">
        <is>
          <t>SKÅNE LÄN</t>
        </is>
      </c>
      <c r="G442" t="inlineStr">
        <is>
          <t>ÖSTRA GÖINGE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22081-2023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46326</v>
      </c>
      <c r="F443" t="inlineStr">
        <is>
          <t>SKÅNE LÄN</t>
        </is>
      </c>
      <c r="G443" t="inlineStr">
        <is>
          <t>ÖSTRA GÖINGE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90-2024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45301</v>
      </c>
      <c r="E444" s="1" t="n">
        <v>46326</v>
      </c>
      <c r="F444" t="inlineStr">
        <is>
          <t>SKÅNE LÄN</t>
        </is>
      </c>
      <c r="G444" t="inlineStr">
        <is>
          <t>ÖSTRA GÖINGE</t>
        </is>
      </c>
      <c r="I444" t="n">
        <v>53.6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2502-2023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45124</v>
      </c>
      <c r="E445" s="1" t="n">
        <v>46326</v>
      </c>
      <c r="F445" t="inlineStr">
        <is>
          <t>SKÅNE LÄN</t>
        </is>
      </c>
      <c r="G445" t="inlineStr">
        <is>
          <t>ÖSTRA GÖINGE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46326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376-2024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45330</v>
      </c>
      <c r="E447" s="1" t="n">
        <v>46326</v>
      </c>
      <c r="F447" t="inlineStr">
        <is>
          <t>SKÅNE LÄN</t>
        </is>
      </c>
      <c r="G447" t="inlineStr">
        <is>
          <t>ÖSTRA GÖINGE</t>
        </is>
      </c>
      <c r="I447" t="n">
        <v>43.3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46326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371-2024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46326</v>
      </c>
      <c r="F449" t="inlineStr">
        <is>
          <t>SKÅNE LÄN</t>
        </is>
      </c>
      <c r="G449" t="inlineStr">
        <is>
          <t>ÖSTRA GÖINGE</t>
        </is>
      </c>
      <c r="I449" t="n">
        <v>19.2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642-2023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44973</v>
      </c>
      <c r="E450" s="1" t="n">
        <v>46326</v>
      </c>
      <c r="F450" t="inlineStr">
        <is>
          <t>SKÅNE LÄN</t>
        </is>
      </c>
      <c r="G450" t="inlineStr">
        <is>
          <t>ÖSTRA GÖINGE</t>
        </is>
      </c>
      <c r="I450" t="n">
        <v>20.4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573-2024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45350</v>
      </c>
      <c r="E451" s="1" t="n">
        <v>46326</v>
      </c>
      <c r="F451" t="inlineStr">
        <is>
          <t>SKÅNE LÄN</t>
        </is>
      </c>
      <c r="G451" t="inlineStr">
        <is>
          <t>ÖSTRA GÖINGE</t>
        </is>
      </c>
      <c r="I451" t="n">
        <v>24.3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3997-2024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45569</v>
      </c>
      <c r="E452" s="1" t="n">
        <v>46326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568-2024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46326</v>
      </c>
      <c r="F453" t="inlineStr">
        <is>
          <t>SKÅNE LÄN</t>
        </is>
      </c>
      <c r="G453" t="inlineStr">
        <is>
          <t>ÖSTRA GÖINGE</t>
        </is>
      </c>
      <c r="I453" t="n">
        <v>21.2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2600-2022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44698</v>
      </c>
      <c r="E454" s="1" t="n">
        <v>46326</v>
      </c>
      <c r="F454" t="inlineStr">
        <is>
          <t>SKÅNE LÄN</t>
        </is>
      </c>
      <c r="G454" t="inlineStr">
        <is>
          <t>ÖSTRA GÖINGE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569-2024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46326</v>
      </c>
      <c r="F455" t="inlineStr">
        <is>
          <t>SKÅNE LÄN</t>
        </is>
      </c>
      <c r="G455" t="inlineStr">
        <is>
          <t>ÖSTRA GÖINGE</t>
        </is>
      </c>
      <c r="I455" t="n">
        <v>35.3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45470</v>
      </c>
      <c r="E456" s="1" t="n">
        <v>46326</v>
      </c>
      <c r="F456" t="inlineStr">
        <is>
          <t>SKÅNE LÄN</t>
        </is>
      </c>
      <c r="G456" t="inlineStr">
        <is>
          <t>ÖSTRA GÖINGE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3114-2023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45182</v>
      </c>
      <c r="E457" s="1" t="n">
        <v>46326</v>
      </c>
      <c r="F457" t="inlineStr">
        <is>
          <t>SKÅNE LÄN</t>
        </is>
      </c>
      <c r="G457" t="inlineStr">
        <is>
          <t>ÖSTRA GÖINGE</t>
        </is>
      </c>
      <c r="I457" t="n">
        <v>17.1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2602-2022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46326</v>
      </c>
      <c r="F458" t="inlineStr">
        <is>
          <t>SKÅNE LÄN</t>
        </is>
      </c>
      <c r="G458" t="inlineStr">
        <is>
          <t>ÖSTRA GÖINGE</t>
        </is>
      </c>
      <c r="I458" t="n">
        <v>18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5662-2022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44841</v>
      </c>
      <c r="E459" s="1" t="n">
        <v>46326</v>
      </c>
      <c r="F459" t="inlineStr">
        <is>
          <t>SKÅNE LÄN</t>
        </is>
      </c>
      <c r="G459" t="inlineStr">
        <is>
          <t>ÖSTRA GÖINGE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3566-2023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45202</v>
      </c>
      <c r="E460" s="1" t="n">
        <v>46326</v>
      </c>
      <c r="F460" t="inlineStr">
        <is>
          <t>SKÅNE LÄN</t>
        </is>
      </c>
      <c r="G460" t="inlineStr">
        <is>
          <t>ÖSTRA GÖINGE</t>
        </is>
      </c>
      <c r="I460" t="n">
        <v>24.5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5137-2024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45645</v>
      </c>
      <c r="E461" s="1" t="n">
        <v>46326</v>
      </c>
      <c r="F461" t="inlineStr">
        <is>
          <t>SKÅNE LÄN</t>
        </is>
      </c>
      <c r="G461" t="inlineStr">
        <is>
          <t>ÖSTRA GÖINGE</t>
        </is>
      </c>
      <c r="I461" t="n">
        <v>48.8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2143-2022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44676</v>
      </c>
      <c r="E462" s="1" t="n">
        <v>46326</v>
      </c>
      <c r="F462" t="inlineStr">
        <is>
          <t>SKÅNE LÄN</t>
        </is>
      </c>
      <c r="G462" t="inlineStr">
        <is>
          <t>ÖSTRA GÖINGE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444-2022</t>
        </is>
      </c>
      <c r="B463" t="inlineStr">
        <is>
          <t>samrådsanmälan</t>
        </is>
      </c>
      <c r="C463" t="inlineStr">
        <is>
          <t>Åtgärd i nyckelbiotop</t>
        </is>
      </c>
      <c r="D463" s="1" t="n">
        <v>44586</v>
      </c>
      <c r="E463" s="1" t="n">
        <v>46326</v>
      </c>
      <c r="F463" t="inlineStr">
        <is>
          <t>SKÅNE LÄN</t>
        </is>
      </c>
      <c r="G463" t="inlineStr">
        <is>
          <t>ÖSTRA GÖINGE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5026-2024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46326</v>
      </c>
      <c r="F464" t="inlineStr">
        <is>
          <t>SKÅNE LÄN</t>
        </is>
      </c>
      <c r="G464" t="inlineStr">
        <is>
          <t>ÖSTRA GÖINGE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3730-2022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44742</v>
      </c>
      <c r="E465" s="1" t="n">
        <v>46326</v>
      </c>
      <c r="F465" t="inlineStr">
        <is>
          <t>SKÅNE LÄN</t>
        </is>
      </c>
      <c r="G465" t="inlineStr">
        <is>
          <t>ÖSTRA GÖINGE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3484-2023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45205</v>
      </c>
      <c r="E466" s="1" t="n">
        <v>46326</v>
      </c>
      <c r="F466" t="inlineStr">
        <is>
          <t>SKÅNE LÄN</t>
        </is>
      </c>
      <c r="G466" t="inlineStr">
        <is>
          <t>ÖSTRA GÖINGE</t>
        </is>
      </c>
      <c r="I466" t="n">
        <v>15.7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450-2022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46326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46326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46326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46326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46326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46326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46326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46326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46326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46326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46326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46326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46326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46326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46326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46326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46326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46326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2026-10-31T03:26:39Z</dcterms:created>
  <dcterms:modified xmlns:dcterms="http://purl.org/dc/terms/" xmlns:xsi="http://www.w3.org/2001/XMLSchema-instance" xsi:type="dcterms:W3CDTF">2026-10-31T03:26:40Z</dcterms:modified>
</cp:coreProperties>
</file>