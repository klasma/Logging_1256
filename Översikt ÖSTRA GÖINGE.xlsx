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46307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46307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46307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46307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46307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46307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46307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46307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46307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46307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46307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46307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46307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46307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6314-2023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46307</v>
      </c>
      <c r="F22" t="inlineStr">
        <is>
          <t>SKÅNE LÄN</t>
        </is>
      </c>
      <c r="G22" t="inlineStr">
        <is>
          <t>ÖSTRA GÖINGE</t>
        </is>
      </c>
      <c r="I22" t="n">
        <v>2.1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Skogsduva
Svartvit flugsnappare</t>
        </is>
      </c>
      <c r="W22">
        <f>HYPERLINK("https://klasma.github.io/Logging_1256/artfynd/A 6314-2023 artfynd.xlsx", "A 6314-2023")</f>
        <v/>
      </c>
      <c r="X22">
        <f>HYPERLINK("https://klasma.github.io/Logging_1256/kartor/A 6314-2023 karta.png", "A 6314-2023")</f>
        <v/>
      </c>
      <c r="Y22">
        <f>HYPERLINK("https://klasma.github.io/Logging_1256/kartor_geotiff/A 6314-2023 georefererad karta.tif", "A 6314-2023")</f>
        <v/>
      </c>
      <c r="AA22">
        <f>HYPERLINK("https://klasma.github.io/Logging_1256/klagomål/A 6314-2023 FSC-klagomål.docx", "A 6314-2023")</f>
        <v/>
      </c>
      <c r="AB22">
        <f>HYPERLINK("https://klasma.github.io/Logging_1256/klagomålsmail/A 6314-2023 FSC-klagomål mail.docx", "A 6314-2023")</f>
        <v/>
      </c>
      <c r="AC22">
        <f>HYPERLINK("https://klasma.github.io/Logging_1256/tillsyn/A 6314-2023 tillsynsbegäran.docx", "A 6314-2023")</f>
        <v/>
      </c>
      <c r="AD22">
        <f>HYPERLINK("https://klasma.github.io/Logging_1256/tillsynsmail/A 6314-2023 tillsynsbegäran mail.docx", "A 6314-2023")</f>
        <v/>
      </c>
    </row>
    <row r="23" ht="15" customHeight="1">
      <c r="A23" t="inlineStr">
        <is>
          <t>A 34389-2024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45525</v>
      </c>
      <c r="E23" s="1" t="n">
        <v>46307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Pulverädellav
Havstulpanlav</t>
        </is>
      </c>
      <c r="W23">
        <f>HYPERLINK("https://klasma.github.io/Logging_1256/artfynd/A 34389-2024 artfynd.xlsx", "A 34389-2024")</f>
        <v/>
      </c>
      <c r="X23">
        <f>HYPERLINK("https://klasma.github.io/Logging_1256/kartor/A 34389-2024 karta.png", "A 34389-2024")</f>
        <v/>
      </c>
      <c r="Y23">
        <f>HYPERLINK("https://klasma.github.io/Logging_1256/kartor_geotiff/A 34389-2024 georefererad karta.tif", "A 34389-2024")</f>
        <v/>
      </c>
      <c r="AA23">
        <f>HYPERLINK("https://klasma.github.io/Logging_1256/klagomål/A 34389-2024 FSC-klagomål.docx", "A 34389-2024")</f>
        <v/>
      </c>
      <c r="AB23">
        <f>HYPERLINK("https://klasma.github.io/Logging_1256/klagomålsmail/A 34389-2024 FSC-klagomål mail.docx", "A 34389-2024")</f>
        <v/>
      </c>
      <c r="AC23">
        <f>HYPERLINK("https://klasma.github.io/Logging_1256/tillsyn/A 34389-2024 tillsynsbegäran.docx", "A 34389-2024")</f>
        <v/>
      </c>
      <c r="AD23">
        <f>HYPERLINK("https://klasma.github.io/Logging_1256/tillsynsmail/A 34389-2024 tillsynsbegäran mail.docx", "A 34389-2024")</f>
        <v/>
      </c>
    </row>
    <row r="24" ht="15" customHeight="1">
      <c r="A24" t="inlineStr">
        <is>
          <t>A 44788-2025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45918</v>
      </c>
      <c r="E24" s="1" t="n">
        <v>46307</v>
      </c>
      <c r="F24" t="inlineStr">
        <is>
          <t>SKÅNE LÄN</t>
        </is>
      </c>
      <c r="G24" t="inlineStr">
        <is>
          <t>ÖSTRA GÖINGE</t>
        </is>
      </c>
      <c r="I24" t="n">
        <v>1.1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Grönsångare
Havstulpanlav</t>
        </is>
      </c>
      <c r="W24">
        <f>HYPERLINK("https://klasma.github.io/Logging_1256/artfynd/A 44788-2025 artfynd.xlsx", "A 44788-2025")</f>
        <v/>
      </c>
      <c r="X24">
        <f>HYPERLINK("https://klasma.github.io/Logging_1256/kartor/A 44788-2025 karta.png", "A 44788-2025")</f>
        <v/>
      </c>
      <c r="Y24">
        <f>HYPERLINK("https://klasma.github.io/Logging_1256/kartor_geotiff/A 44788-2025 georefererad karta.tif", "A 44788-2025")</f>
        <v/>
      </c>
      <c r="AA24">
        <f>HYPERLINK("https://klasma.github.io/Logging_1256/klagomål/A 44788-2025 FSC-klagomål.docx", "A 44788-2025")</f>
        <v/>
      </c>
      <c r="AB24">
        <f>HYPERLINK("https://klasma.github.io/Logging_1256/klagomålsmail/A 44788-2025 FSC-klagomål mail.docx", "A 44788-2025")</f>
        <v/>
      </c>
      <c r="AC24">
        <f>HYPERLINK("https://klasma.github.io/Logging_1256/tillsyn/A 44788-2025 tillsynsbegäran.docx", "A 44788-2025")</f>
        <v/>
      </c>
      <c r="AD24">
        <f>HYPERLINK("https://klasma.github.io/Logging_1256/tillsynsmail/A 44788-2025 tillsynsbegäran mail.docx", "A 44788-2025")</f>
        <v/>
      </c>
      <c r="AE24">
        <f>HYPERLINK("https://klasma.github.io/Logging_1256/fåglar/A 44788-2025 prioriterade fågelarter.docx", "A 44788-2025")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46307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46307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30306-2025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46307</v>
      </c>
      <c r="F27" t="inlineStr">
        <is>
          <t>SKÅNE LÄN</t>
        </is>
      </c>
      <c r="G27" t="inlineStr">
        <is>
          <t>ÖSTRA GÖINGE</t>
        </is>
      </c>
      <c r="I27" t="n">
        <v>3.6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Dvärglin
Järnsparv</t>
        </is>
      </c>
      <c r="W27">
        <f>HYPERLINK("https://klasma.github.io/Logging_1256/artfynd/A 30306-2025 artfynd.xlsx", "A 30306-2025")</f>
        <v/>
      </c>
      <c r="X27">
        <f>HYPERLINK("https://klasma.github.io/Logging_1256/kartor/A 30306-2025 karta.png", "A 30306-2025")</f>
        <v/>
      </c>
      <c r="Y27">
        <f>HYPERLINK("https://klasma.github.io/Logging_1256/kartor_geotiff/A 30306-2025 georefererad karta.tif", "A 30306-2025")</f>
        <v/>
      </c>
      <c r="AA27">
        <f>HYPERLINK("https://klasma.github.io/Logging_1256/klagomål/A 30306-2025 FSC-klagomål.docx", "A 30306-2025")</f>
        <v/>
      </c>
      <c r="AB27">
        <f>HYPERLINK("https://klasma.github.io/Logging_1256/klagomålsmail/A 30306-2025 FSC-klagomål mail.docx", "A 30306-2025")</f>
        <v/>
      </c>
      <c r="AC27">
        <f>HYPERLINK("https://klasma.github.io/Logging_1256/tillsyn/A 30306-2025 tillsynsbegäran.docx", "A 30306-2025")</f>
        <v/>
      </c>
      <c r="AD27">
        <f>HYPERLINK("https://klasma.github.io/Logging_1256/tillsynsmail/A 30306-2025 tillsynsbegäran mail.docx", "A 30306-2025")</f>
        <v/>
      </c>
      <c r="AE27">
        <f>HYPERLINK("https://klasma.github.io/Logging_1256/fåglar/A 30306-2025 prioriterade fågelarter.docx", "A 30306-2025")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46307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46307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46307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46307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46307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29273-2023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45105</v>
      </c>
      <c r="E37" s="1" t="n">
        <v>46307</v>
      </c>
      <c r="F37" t="inlineStr">
        <is>
          <t>SKÅNE LÄN</t>
        </is>
      </c>
      <c r="G37" t="inlineStr">
        <is>
          <t>ÖSTRA GÖINGE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Nötkråka</t>
        </is>
      </c>
      <c r="W37">
        <f>HYPERLINK("https://klasma.github.io/Logging_1256/artfynd/A 29273-2023 artfynd.xlsx", "A 29273-2023")</f>
        <v/>
      </c>
      <c r="X37">
        <f>HYPERLINK("https://klasma.github.io/Logging_1256/kartor/A 29273-2023 karta.png", "A 29273-2023")</f>
        <v/>
      </c>
      <c r="Y37">
        <f>HYPERLINK("https://klasma.github.io/Logging_1256/kartor_geotiff/A 29273-2023 georefererad karta.tif", "A 29273-2023")</f>
        <v/>
      </c>
      <c r="AA37">
        <f>HYPERLINK("https://klasma.github.io/Logging_1256/klagomål/A 29273-2023 FSC-klagomål.docx", "A 29273-2023")</f>
        <v/>
      </c>
      <c r="AB37">
        <f>HYPERLINK("https://klasma.github.io/Logging_1256/klagomålsmail/A 29273-2023 FSC-klagomål mail.docx", "A 29273-2023")</f>
        <v/>
      </c>
      <c r="AC37">
        <f>HYPERLINK("https://klasma.github.io/Logging_1256/tillsyn/A 29273-2023 tillsynsbegäran.docx", "A 29273-2023")</f>
        <v/>
      </c>
      <c r="AD37">
        <f>HYPERLINK("https://klasma.github.io/Logging_1256/tillsynsmail/A 29273-2023 tillsynsbegäran mail.docx", "A 29273-2023")</f>
        <v/>
      </c>
      <c r="AE37">
        <f>HYPERLINK("https://klasma.github.io/Logging_1256/fåglar/A 29273-2023 prioriterade fågelarter.docx", "A 29273-2023")</f>
        <v/>
      </c>
    </row>
    <row r="38" ht="15" customHeight="1">
      <c r="A38" t="inlineStr">
        <is>
          <t>A 4386-2024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45327</v>
      </c>
      <c r="E38" s="1" t="n">
        <v>46307</v>
      </c>
      <c r="F38" t="inlineStr">
        <is>
          <t>SKÅNE LÄN</t>
        </is>
      </c>
      <c r="G38" t="inlineStr">
        <is>
          <t>ÖSTRA GÖINGE</t>
        </is>
      </c>
      <c r="I38" t="n">
        <v>1.8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HYPERLINK("https://klasma.github.io/Logging_1256/artfynd/A 4386-2024 artfynd.xlsx", "A 4386-2024")</f>
        <v/>
      </c>
      <c r="X38">
        <f>HYPERLINK("https://klasma.github.io/Logging_1256/kartor/A 4386-2024 karta.png", "A 4386-2024")</f>
        <v/>
      </c>
      <c r="Y38">
        <f>HYPERLINK("https://klasma.github.io/Logging_1256/kartor_geotiff/A 4386-2024 georefererad karta.tif", "A 4386-2024")</f>
        <v/>
      </c>
      <c r="AA38">
        <f>HYPERLINK("https://klasma.github.io/Logging_1256/klagomål/A 4386-2024 FSC-klagomål.docx", "A 4386-2024")</f>
        <v/>
      </c>
      <c r="AB38">
        <f>HYPERLINK("https://klasma.github.io/Logging_1256/klagomålsmail/A 4386-2024 FSC-klagomål mail.docx", "A 4386-2024")</f>
        <v/>
      </c>
      <c r="AC38">
        <f>HYPERLINK("https://klasma.github.io/Logging_1256/tillsyn/A 4386-2024 tillsynsbegäran.docx", "A 4386-2024")</f>
        <v/>
      </c>
      <c r="AD38">
        <f>HYPERLINK("https://klasma.github.io/Logging_1256/tillsynsmail/A 4386-2024 tillsynsbegäran mail.docx", "A 4386-2024")</f>
        <v/>
      </c>
    </row>
    <row r="39" ht="15" customHeight="1">
      <c r="A39" t="inlineStr">
        <is>
          <t>A 38965-2025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46307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HYPERLINK("https://klasma.github.io/Logging_1256/artfynd/A 38965-2025 artfynd.xlsx", "A 38965-2025")</f>
        <v/>
      </c>
      <c r="X39">
        <f>HYPERLINK("https://klasma.github.io/Logging_1256/kartor/A 38965-2025 karta.png", "A 38965-2025")</f>
        <v/>
      </c>
      <c r="Y39">
        <f>HYPERLINK("https://klasma.github.io/Logging_1256/kartor_geotiff/A 38965-2025 georefererad karta.tif", "A 38965-2025")</f>
        <v/>
      </c>
      <c r="AA39">
        <f>HYPERLINK("https://klasma.github.io/Logging_1256/klagomål/A 38965-2025 FSC-klagomål.docx", "A 38965-2025")</f>
        <v/>
      </c>
      <c r="AB39">
        <f>HYPERLINK("https://klasma.github.io/Logging_1256/klagomålsmail/A 38965-2025 FSC-klagomål mail.docx", "A 38965-2025")</f>
        <v/>
      </c>
      <c r="AC39">
        <f>HYPERLINK("https://klasma.github.io/Logging_1256/tillsyn/A 38965-2025 tillsynsbegäran.docx", "A 38965-2025")</f>
        <v/>
      </c>
      <c r="AD39">
        <f>HYPERLINK("https://klasma.github.io/Logging_1256/tillsynsmail/A 38965-2025 tillsynsbegäran mail.docx", "A 38965-2025")</f>
        <v/>
      </c>
    </row>
    <row r="40" ht="15" customHeight="1">
      <c r="A40" t="inlineStr">
        <is>
          <t>A 2695-2022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46307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HYPERLINK("https://klasma.github.io/Logging_1256/artfynd/A 2695-2022 artfynd.xlsx", "A 2695-2022")</f>
        <v/>
      </c>
      <c r="X40">
        <f>HYPERLINK("https://klasma.github.io/Logging_1256/kartor/A 2695-2022 karta.png", "A 2695-2022")</f>
        <v/>
      </c>
      <c r="Y40">
        <f>HYPERLINK("https://klasma.github.io/Logging_1256/kartor_geotiff/A 2695-2022 georefererad karta.tif", "A 2695-2022")</f>
        <v/>
      </c>
      <c r="AA40">
        <f>HYPERLINK("https://klasma.github.io/Logging_1256/klagomål/A 2695-2022 FSC-klagomål.docx", "A 2695-2022")</f>
        <v/>
      </c>
      <c r="AB40">
        <f>HYPERLINK("https://klasma.github.io/Logging_1256/klagomålsmail/A 2695-2022 FSC-klagomål mail.docx", "A 2695-2022")</f>
        <v/>
      </c>
      <c r="AC40">
        <f>HYPERLINK("https://klasma.github.io/Logging_1256/tillsyn/A 2695-2022 tillsynsbegäran.docx", "A 2695-2022")</f>
        <v/>
      </c>
      <c r="AD40">
        <f>HYPERLINK("https://klasma.github.io/Logging_1256/tillsynsmail/A 2695-2022 tillsynsbegäran mail.docx", "A 2695-2022")</f>
        <v/>
      </c>
      <c r="AE40">
        <f>HYPERLINK("https://klasma.github.io/Logging_1256/fåglar/A 2695-2022 prioriterade fågelarter.docx", "A 2695-2022")</f>
        <v/>
      </c>
    </row>
    <row r="41" ht="15" customHeight="1">
      <c r="A41" t="inlineStr">
        <is>
          <t>A 35037-2024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46307</v>
      </c>
      <c r="F41" t="inlineStr">
        <is>
          <t>SKÅNE LÄN</t>
        </is>
      </c>
      <c r="G41" t="inlineStr">
        <is>
          <t>ÖSTRA GÖINGE</t>
        </is>
      </c>
      <c r="I41" t="n">
        <v>12.6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35037-2024 artfynd.xlsx", "A 35037-2024")</f>
        <v/>
      </c>
      <c r="X41">
        <f>HYPERLINK("https://klasma.github.io/Logging_1256/kartor/A 35037-2024 karta.png", "A 35037-2024")</f>
        <v/>
      </c>
      <c r="Y41">
        <f>HYPERLINK("https://klasma.github.io/Logging_1256/kartor_geotiff/A 35037-2024 georefererad karta.tif", "A 35037-2024")</f>
        <v/>
      </c>
      <c r="AA41">
        <f>HYPERLINK("https://klasma.github.io/Logging_1256/klagomål/A 35037-2024 FSC-klagomål.docx", "A 35037-2024")</f>
        <v/>
      </c>
      <c r="AB41">
        <f>HYPERLINK("https://klasma.github.io/Logging_1256/klagomålsmail/A 35037-2024 FSC-klagomål mail.docx", "A 35037-2024")</f>
        <v/>
      </c>
      <c r="AC41">
        <f>HYPERLINK("https://klasma.github.io/Logging_1256/tillsyn/A 35037-2024 tillsynsbegäran.docx", "A 35037-2024")</f>
        <v/>
      </c>
      <c r="AD41">
        <f>HYPERLINK("https://klasma.github.io/Logging_1256/tillsynsmail/A 35037-2024 tillsynsbegäran mail.docx", "A 35037-2024")</f>
        <v/>
      </c>
    </row>
    <row r="42" ht="15" customHeight="1">
      <c r="A42" t="inlineStr">
        <is>
          <t>A 5468-2024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45332</v>
      </c>
      <c r="E42" s="1" t="n">
        <v>46307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5468-2024 artfynd.xlsx", "A 5468-2024")</f>
        <v/>
      </c>
      <c r="X42">
        <f>HYPERLINK("https://klasma.github.io/Logging_1256/kartor/A 5468-2024 karta.png", "A 5468-2024")</f>
        <v/>
      </c>
      <c r="Y42">
        <f>HYPERLINK("https://klasma.github.io/Logging_1256/kartor_geotiff/A 5468-2024 georefererad karta.tif", "A 5468-2024")</f>
        <v/>
      </c>
      <c r="AA42">
        <f>HYPERLINK("https://klasma.github.io/Logging_1256/klagomål/A 5468-2024 FSC-klagomål.docx", "A 5468-2024")</f>
        <v/>
      </c>
      <c r="AB42">
        <f>HYPERLINK("https://klasma.github.io/Logging_1256/klagomålsmail/A 5468-2024 FSC-klagomål mail.docx", "A 5468-2024")</f>
        <v/>
      </c>
      <c r="AC42">
        <f>HYPERLINK("https://klasma.github.io/Logging_1256/tillsyn/A 5468-2024 tillsynsbegäran.docx", "A 5468-2024")</f>
        <v/>
      </c>
      <c r="AD42">
        <f>HYPERLINK("https://klasma.github.io/Logging_1256/tillsynsmail/A 5468-2024 tillsynsbegäran mail.docx", "A 5468-2024")</f>
        <v/>
      </c>
    </row>
    <row r="43" ht="15" customHeight="1">
      <c r="A43" t="inlineStr">
        <is>
          <t>A 16668-2023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46307</v>
      </c>
      <c r="F43" t="inlineStr">
        <is>
          <t>SKÅNE LÄN</t>
        </is>
      </c>
      <c r="G43" t="inlineStr">
        <is>
          <t>ÖSTRA GÖINGE</t>
        </is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hackspett</t>
        </is>
      </c>
      <c r="W43">
        <f>HYPERLINK("https://klasma.github.io/Logging_1256/artfynd/A 16668-2023 artfynd.xlsx", "A 16668-2023")</f>
        <v/>
      </c>
      <c r="X43">
        <f>HYPERLINK("https://klasma.github.io/Logging_1256/kartor/A 16668-2023 karta.png", "A 16668-2023")</f>
        <v/>
      </c>
      <c r="Y43">
        <f>HYPERLINK("https://klasma.github.io/Logging_1256/kartor_geotiff/A 16668-2023 georefererad karta.tif", "A 16668-2023")</f>
        <v/>
      </c>
      <c r="AA43">
        <f>HYPERLINK("https://klasma.github.io/Logging_1256/klagomål/A 16668-2023 FSC-klagomål.docx", "A 16668-2023")</f>
        <v/>
      </c>
      <c r="AB43">
        <f>HYPERLINK("https://klasma.github.io/Logging_1256/klagomålsmail/A 16668-2023 FSC-klagomål mail.docx", "A 16668-2023")</f>
        <v/>
      </c>
      <c r="AC43">
        <f>HYPERLINK("https://klasma.github.io/Logging_1256/tillsyn/A 16668-2023 tillsynsbegäran.docx", "A 16668-2023")</f>
        <v/>
      </c>
      <c r="AD43">
        <f>HYPERLINK("https://klasma.github.io/Logging_1256/tillsynsmail/A 16668-2023 tillsynsbegäran mail.docx", "A 16668-2023")</f>
        <v/>
      </c>
      <c r="AE43">
        <f>HYPERLINK("https://klasma.github.io/Logging_1256/fåglar/A 16668-2023 prioriterade fågelarter.docx", "A 16668-2023")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46307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46307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26509-2025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46307</v>
      </c>
      <c r="F46" t="inlineStr">
        <is>
          <t>SKÅNE LÄN</t>
        </is>
      </c>
      <c r="G46" t="inlineStr">
        <is>
          <t>ÖSTRA GÖINGE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HYPERLINK("https://klasma.github.io/Logging_1256/artfynd/A 26509-2025 artfynd.xlsx", "A 26509-2025")</f>
        <v/>
      </c>
      <c r="X46">
        <f>HYPERLINK("https://klasma.github.io/Logging_1256/kartor/A 26509-2025 karta.png", "A 26509-2025")</f>
        <v/>
      </c>
      <c r="Y46">
        <f>HYPERLINK("https://klasma.github.io/Logging_1256/kartor_geotiff/A 26509-2025 georefererad karta.tif", "A 26509-2025")</f>
        <v/>
      </c>
      <c r="AA46">
        <f>HYPERLINK("https://klasma.github.io/Logging_1256/klagomål/A 26509-2025 FSC-klagomål.docx", "A 26509-2025")</f>
        <v/>
      </c>
      <c r="AB46">
        <f>HYPERLINK("https://klasma.github.io/Logging_1256/klagomålsmail/A 26509-2025 FSC-klagomål mail.docx", "A 26509-2025")</f>
        <v/>
      </c>
      <c r="AC46">
        <f>HYPERLINK("https://klasma.github.io/Logging_1256/tillsyn/A 26509-2025 tillsynsbegäran.docx", "A 26509-2025")</f>
        <v/>
      </c>
      <c r="AD46">
        <f>HYPERLINK("https://klasma.github.io/Logging_1256/tillsynsmail/A 26509-2025 tillsynsbegäran mail.docx", "A 26509-2025")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46307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34344-2025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46307</v>
      </c>
      <c r="F48" t="inlineStr">
        <is>
          <t>SKÅNE LÄN</t>
        </is>
      </c>
      <c r="G48" t="inlineStr">
        <is>
          <t>ÖSTRA GÖINGE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Huggorm</t>
        </is>
      </c>
      <c r="W48">
        <f>HYPERLINK("https://klasma.github.io/Logging_1256/artfynd/A 34344-2025 artfynd.xlsx", "A 34344-2025")</f>
        <v/>
      </c>
      <c r="X48">
        <f>HYPERLINK("https://klasma.github.io/Logging_1256/kartor/A 34344-2025 karta.png", "A 34344-2025")</f>
        <v/>
      </c>
      <c r="Y48">
        <f>HYPERLINK("https://klasma.github.io/Logging_1256/kartor_geotiff/A 34344-2025 georefererad karta.tif", "A 34344-2025")</f>
        <v/>
      </c>
      <c r="AA48">
        <f>HYPERLINK("https://klasma.github.io/Logging_1256/klagomål/A 34344-2025 FSC-klagomål.docx", "A 34344-2025")</f>
        <v/>
      </c>
      <c r="AB48">
        <f>HYPERLINK("https://klasma.github.io/Logging_1256/klagomålsmail/A 34344-2025 FSC-klagomål mail.docx", "A 34344-2025")</f>
        <v/>
      </c>
      <c r="AC48">
        <f>HYPERLINK("https://klasma.github.io/Logging_1256/tillsyn/A 34344-2025 tillsynsbegäran.docx", "A 34344-2025")</f>
        <v/>
      </c>
      <c r="AD48">
        <f>HYPERLINK("https://klasma.github.io/Logging_1256/tillsynsmail/A 34344-2025 tillsynsbegäran mail.docx", "A 34344-2025")</f>
        <v/>
      </c>
    </row>
    <row r="49" ht="15" customHeight="1">
      <c r="A49" t="inlineStr">
        <is>
          <t>A 9769-2024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46307</v>
      </c>
      <c r="F49" t="inlineStr">
        <is>
          <t>SKÅNE LÄN</t>
        </is>
      </c>
      <c r="G49" t="inlineStr">
        <is>
          <t>ÖSTRA GÖINGE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Gullpudra</t>
        </is>
      </c>
      <c r="W49">
        <f>HYPERLINK("https://klasma.github.io/Logging_1256/artfynd/A 9769-2024 artfynd.xlsx", "A 9769-2024")</f>
        <v/>
      </c>
      <c r="X49">
        <f>HYPERLINK("https://klasma.github.io/Logging_1256/kartor/A 9769-2024 karta.png", "A 9769-2024")</f>
        <v/>
      </c>
      <c r="Y49">
        <f>HYPERLINK("https://klasma.github.io/Logging_1256/kartor_geotiff/A 9769-2024 georefererad karta.tif", "A 9769-2024")</f>
        <v/>
      </c>
      <c r="AA49">
        <f>HYPERLINK("https://klasma.github.io/Logging_1256/klagomål/A 9769-2024 FSC-klagomål.docx", "A 9769-2024")</f>
        <v/>
      </c>
      <c r="AB49">
        <f>HYPERLINK("https://klasma.github.io/Logging_1256/klagomålsmail/A 9769-2024 FSC-klagomål mail.docx", "A 9769-2024")</f>
        <v/>
      </c>
      <c r="AC49">
        <f>HYPERLINK("https://klasma.github.io/Logging_1256/tillsyn/A 9769-2024 tillsynsbegäran.docx", "A 9769-2024")</f>
        <v/>
      </c>
      <c r="AD49">
        <f>HYPERLINK("https://klasma.github.io/Logging_1256/tillsynsmail/A 9769-2024 tillsynsbegäran mail.docx", "A 9769-2024")</f>
        <v/>
      </c>
    </row>
    <row r="50" ht="15" customHeight="1">
      <c r="A50" t="inlineStr">
        <is>
          <t>A 4892-2023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44958</v>
      </c>
      <c r="E50" s="1" t="n">
        <v>46307</v>
      </c>
      <c r="F50" t="inlineStr">
        <is>
          <t>SKÅNE LÄN</t>
        </is>
      </c>
      <c r="G50" t="inlineStr">
        <is>
          <t>ÖSTRA GÖINGE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Gulsparv</t>
        </is>
      </c>
      <c r="W50">
        <f>HYPERLINK("https://klasma.github.io/Logging_1256/artfynd/A 4892-2023 artfynd.xlsx", "A 4892-2023")</f>
        <v/>
      </c>
      <c r="X50">
        <f>HYPERLINK("https://klasma.github.io/Logging_1256/kartor/A 4892-2023 karta.png", "A 4892-2023")</f>
        <v/>
      </c>
      <c r="Y50">
        <f>HYPERLINK("https://klasma.github.io/Logging_1256/kartor_geotiff/A 4892-2023 georefererad karta.tif", "A 4892-2023")</f>
        <v/>
      </c>
      <c r="AA50">
        <f>HYPERLINK("https://klasma.github.io/Logging_1256/klagomål/A 4892-2023 FSC-klagomål.docx", "A 4892-2023")</f>
        <v/>
      </c>
      <c r="AB50">
        <f>HYPERLINK("https://klasma.github.io/Logging_1256/klagomålsmail/A 4892-2023 FSC-klagomål mail.docx", "A 4892-2023")</f>
        <v/>
      </c>
      <c r="AC50">
        <f>HYPERLINK("https://klasma.github.io/Logging_1256/tillsyn/A 4892-2023 tillsynsbegäran.docx", "A 4892-2023")</f>
        <v/>
      </c>
      <c r="AD50">
        <f>HYPERLINK("https://klasma.github.io/Logging_1256/tillsynsmail/A 4892-2023 tillsynsbegäran mail.docx", "A 4892-2023")</f>
        <v/>
      </c>
      <c r="AE50">
        <f>HYPERLINK("https://klasma.github.io/Logging_1256/fåglar/A 4892-2023 prioriterade fågelarter.docx", "A 4892-2023")</f>
        <v/>
      </c>
    </row>
    <row r="51" ht="15" customHeight="1">
      <c r="A51" t="inlineStr">
        <is>
          <t>A 4251-2023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46307</v>
      </c>
      <c r="F51" t="inlineStr">
        <is>
          <t>SKÅNE LÄN</t>
        </is>
      </c>
      <c r="G51" t="inlineStr">
        <is>
          <t>ÖSTRA GÖINGE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Ask</t>
        </is>
      </c>
      <c r="W51">
        <f>HYPERLINK("https://klasma.github.io/Logging_1256/artfynd/A 4251-2023 artfynd.xlsx", "A 4251-2023")</f>
        <v/>
      </c>
      <c r="X51">
        <f>HYPERLINK("https://klasma.github.io/Logging_1256/kartor/A 4251-2023 karta.png", "A 4251-2023")</f>
        <v/>
      </c>
      <c r="Y51">
        <f>HYPERLINK("https://klasma.github.io/Logging_1256/kartor_geotiff/A 4251-2023 georefererad karta.tif", "A 4251-2023")</f>
        <v/>
      </c>
      <c r="AA51">
        <f>HYPERLINK("https://klasma.github.io/Logging_1256/klagomål/A 4251-2023 FSC-klagomål.docx", "A 4251-2023")</f>
        <v/>
      </c>
      <c r="AB51">
        <f>HYPERLINK("https://klasma.github.io/Logging_1256/klagomålsmail/A 4251-2023 FSC-klagomål mail.docx", "A 4251-2023")</f>
        <v/>
      </c>
      <c r="AC51">
        <f>HYPERLINK("https://klasma.github.io/Logging_1256/tillsyn/A 4251-2023 tillsynsbegäran.docx", "A 4251-2023")</f>
        <v/>
      </c>
      <c r="AD51">
        <f>HYPERLINK("https://klasma.github.io/Logging_1256/tillsynsmail/A 4251-2023 tillsynsbegäran mail.docx", "A 4251-2023")</f>
        <v/>
      </c>
    </row>
    <row r="52" ht="15" customHeight="1">
      <c r="A52" t="inlineStr">
        <is>
          <t>A 62060-2022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46307</v>
      </c>
      <c r="F52" t="inlineStr">
        <is>
          <t>SKÅNE LÄN</t>
        </is>
      </c>
      <c r="G52" t="inlineStr">
        <is>
          <t>ÖSTRA GÖINGE</t>
        </is>
      </c>
      <c r="I52" t="n">
        <v>2.7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Desmeknopp</t>
        </is>
      </c>
      <c r="W52">
        <f>HYPERLINK("https://klasma.github.io/Logging_1256/artfynd/A 62060-2022 artfynd.xlsx", "A 62060-2022")</f>
        <v/>
      </c>
      <c r="X52">
        <f>HYPERLINK("https://klasma.github.io/Logging_1256/kartor/A 62060-2022 karta.png", "A 62060-2022")</f>
        <v/>
      </c>
      <c r="Y52">
        <f>HYPERLINK("https://klasma.github.io/Logging_1256/kartor_geotiff/A 62060-2022 georefererad karta.tif", "A 62060-2022")</f>
        <v/>
      </c>
      <c r="AA52">
        <f>HYPERLINK("https://klasma.github.io/Logging_1256/klagomål/A 62060-2022 FSC-klagomål.docx", "A 62060-2022")</f>
        <v/>
      </c>
      <c r="AB52">
        <f>HYPERLINK("https://klasma.github.io/Logging_1256/klagomålsmail/A 62060-2022 FSC-klagomål mail.docx", "A 62060-2022")</f>
        <v/>
      </c>
      <c r="AC52">
        <f>HYPERLINK("https://klasma.github.io/Logging_1256/tillsyn/A 62060-2022 tillsynsbegäran.docx", "A 62060-2022")</f>
        <v/>
      </c>
      <c r="AD52">
        <f>HYPERLINK("https://klasma.github.io/Logging_1256/tillsynsmail/A 62060-2022 tillsynsbegäran mail.docx", "A 62060-2022")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46307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6152-2024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46307</v>
      </c>
      <c r="F54" t="inlineStr">
        <is>
          <t>SKÅNE LÄN</t>
        </is>
      </c>
      <c r="G54" t="inlineStr">
        <is>
          <t>ÖSTRA GÖINGE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HYPERLINK("https://klasma.github.io/Logging_1256/artfynd/A 6152-2024 artfynd.xlsx", "A 6152-2024")</f>
        <v/>
      </c>
      <c r="X54">
        <f>HYPERLINK("https://klasma.github.io/Logging_1256/kartor/A 6152-2024 karta.png", "A 6152-2024")</f>
        <v/>
      </c>
      <c r="Y54">
        <f>HYPERLINK("https://klasma.github.io/Logging_1256/kartor_geotiff/A 6152-2024 georefererad karta.tif", "A 6152-2024")</f>
        <v/>
      </c>
      <c r="AA54">
        <f>HYPERLINK("https://klasma.github.io/Logging_1256/klagomål/A 6152-2024 FSC-klagomål.docx", "A 6152-2024")</f>
        <v/>
      </c>
      <c r="AB54">
        <f>HYPERLINK("https://klasma.github.io/Logging_1256/klagomålsmail/A 6152-2024 FSC-klagomål mail.docx", "A 6152-2024")</f>
        <v/>
      </c>
      <c r="AC54">
        <f>HYPERLINK("https://klasma.github.io/Logging_1256/tillsyn/A 6152-2024 tillsynsbegäran.docx", "A 6152-2024")</f>
        <v/>
      </c>
      <c r="AD54">
        <f>HYPERLINK("https://klasma.github.io/Logging_1256/tillsynsmail/A 6152-2024 tillsynsbegäran mail.docx", "A 6152-2024")</f>
        <v/>
      </c>
    </row>
    <row r="55" ht="15" customHeight="1">
      <c r="A55" t="inlineStr">
        <is>
          <t>A 4383-2024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45327</v>
      </c>
      <c r="E55" s="1" t="n">
        <v>46307</v>
      </c>
      <c r="F55" t="inlineStr">
        <is>
          <t>SKÅNE LÄN</t>
        </is>
      </c>
      <c r="G55" t="inlineStr">
        <is>
          <t>ÖSTRA GÖINGE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HYPERLINK("https://klasma.github.io/Logging_1256/artfynd/A 4383-2024 artfynd.xlsx", "A 4383-2024")</f>
        <v/>
      </c>
      <c r="X55">
        <f>HYPERLINK("https://klasma.github.io/Logging_1256/kartor/A 4383-2024 karta.png", "A 4383-2024")</f>
        <v/>
      </c>
      <c r="Y55">
        <f>HYPERLINK("https://klasma.github.io/Logging_1256/kartor_geotiff/A 4383-2024 georefererad karta.tif", "A 4383-2024")</f>
        <v/>
      </c>
      <c r="AA55">
        <f>HYPERLINK("https://klasma.github.io/Logging_1256/klagomål/A 4383-2024 FSC-klagomål.docx", "A 4383-2024")</f>
        <v/>
      </c>
      <c r="AB55">
        <f>HYPERLINK("https://klasma.github.io/Logging_1256/klagomålsmail/A 4383-2024 FSC-klagomål mail.docx", "A 4383-2024")</f>
        <v/>
      </c>
      <c r="AC55">
        <f>HYPERLINK("https://klasma.github.io/Logging_1256/tillsyn/A 4383-2024 tillsynsbegäran.docx", "A 4383-2024")</f>
        <v/>
      </c>
      <c r="AD55">
        <f>HYPERLINK("https://klasma.github.io/Logging_1256/tillsynsmail/A 4383-2024 tillsynsbegäran mail.docx", "A 4383-2024")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46307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46307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46307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46307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46307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46307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46307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46307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46307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46307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46307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46307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46307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46307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46307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46307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46307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46307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46307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46307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46307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46307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46307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46307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40139-2022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44820</v>
      </c>
      <c r="E82" s="1" t="n">
        <v>46307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46307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46307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46307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46307</v>
      </c>
      <c r="F86" t="inlineStr">
        <is>
          <t>SKÅNE LÄN</t>
        </is>
      </c>
      <c r="G86" t="inlineStr">
        <is>
          <t>ÖSTRA GÖINGE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46307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46307</v>
      </c>
      <c r="F88" t="inlineStr">
        <is>
          <t>SKÅNE LÄN</t>
        </is>
      </c>
      <c r="G88" t="inlineStr">
        <is>
          <t>ÖSTRA GÖINGE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46307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46307</v>
      </c>
      <c r="F90" t="inlineStr">
        <is>
          <t>SKÅNE LÄN</t>
        </is>
      </c>
      <c r="G90" t="inlineStr">
        <is>
          <t>ÖSTRA GÖINGE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46307</v>
      </c>
      <c r="F91" t="inlineStr">
        <is>
          <t>SKÅNE LÄN</t>
        </is>
      </c>
      <c r="G91" t="inlineStr">
        <is>
          <t>ÖSTRA GÖINGE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46307</v>
      </c>
      <c r="F92" t="inlineStr">
        <is>
          <t>SKÅNE LÄN</t>
        </is>
      </c>
      <c r="G92" t="inlineStr">
        <is>
          <t>ÖSTRA GÖINGE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46307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46307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46307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46307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46307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46307</v>
      </c>
      <c r="F98" t="inlineStr">
        <is>
          <t>SKÅNE LÄN</t>
        </is>
      </c>
      <c r="G98" t="inlineStr">
        <is>
          <t>ÖSTRA GÖINGE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46307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46307</v>
      </c>
      <c r="F100" t="inlineStr">
        <is>
          <t>SKÅNE LÄN</t>
        </is>
      </c>
      <c r="G100" t="inlineStr">
        <is>
          <t>ÖSTRA GÖINGE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46307</v>
      </c>
      <c r="F101" t="inlineStr">
        <is>
          <t>SKÅNE LÄN</t>
        </is>
      </c>
      <c r="G101" t="inlineStr">
        <is>
          <t>ÖSTRA GÖINGE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46307</v>
      </c>
      <c r="F102" t="inlineStr">
        <is>
          <t>SKÅNE LÄN</t>
        </is>
      </c>
      <c r="G102" t="inlineStr">
        <is>
          <t>ÖSTRA GÖINGE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45541</v>
      </c>
      <c r="E103" s="1" t="n">
        <v>46307</v>
      </c>
      <c r="F103" t="inlineStr">
        <is>
          <t>SKÅNE LÄN</t>
        </is>
      </c>
      <c r="G103" t="inlineStr">
        <is>
          <t>ÖSTRA GÖINGE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46307</v>
      </c>
      <c r="F104" t="inlineStr">
        <is>
          <t>SKÅNE LÄN</t>
        </is>
      </c>
      <c r="G104" t="inlineStr">
        <is>
          <t>ÖSTRA GÖINGE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46307</v>
      </c>
      <c r="F105" t="inlineStr">
        <is>
          <t>SKÅNE LÄN</t>
        </is>
      </c>
      <c r="G105" t="inlineStr">
        <is>
          <t>ÖSTRA GÖINGE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18340-2024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45422</v>
      </c>
      <c r="E106" s="1" t="n">
        <v>46307</v>
      </c>
      <c r="F106" t="inlineStr">
        <is>
          <t>SKÅNE LÄN</t>
        </is>
      </c>
      <c r="G106" t="inlineStr">
        <is>
          <t>ÖSTRA GÖINGE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46307</v>
      </c>
      <c r="F107" t="inlineStr">
        <is>
          <t>SKÅNE LÄN</t>
        </is>
      </c>
      <c r="G107" t="inlineStr">
        <is>
          <t>ÖSTRA GÖINGE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46307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46307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46307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46307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44914</v>
      </c>
      <c r="E112" s="1" t="n">
        <v>46307</v>
      </c>
      <c r="F112" t="inlineStr">
        <is>
          <t>SKÅNE LÄN</t>
        </is>
      </c>
      <c r="G112" t="inlineStr">
        <is>
          <t>ÖSTRA GÖINGE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29285-2023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45105</v>
      </c>
      <c r="E113" s="1" t="n">
        <v>46307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45227</v>
      </c>
      <c r="E114" s="1" t="n">
        <v>46307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46307</v>
      </c>
      <c r="F115" t="inlineStr">
        <is>
          <t>SKÅNE LÄN</t>
        </is>
      </c>
      <c r="G115" t="inlineStr">
        <is>
          <t>ÖSTRA GÖINGE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46307</v>
      </c>
      <c r="F116" t="inlineStr">
        <is>
          <t>SKÅNE LÄN</t>
        </is>
      </c>
      <c r="G116" t="inlineStr">
        <is>
          <t>ÖSTRA GÖINGE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46307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46307</v>
      </c>
      <c r="F118" t="inlineStr">
        <is>
          <t>SKÅNE LÄN</t>
        </is>
      </c>
      <c r="G118" t="inlineStr">
        <is>
          <t>ÖSTRA GÖINGE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46307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46307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46307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45765</v>
      </c>
      <c r="E122" s="1" t="n">
        <v>46307</v>
      </c>
      <c r="F122" t="inlineStr">
        <is>
          <t>SKÅNE LÄN</t>
        </is>
      </c>
      <c r="G122" t="inlineStr">
        <is>
          <t>ÖSTRA GÖINGE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46307</v>
      </c>
      <c r="F123" t="inlineStr">
        <is>
          <t>SKÅNE LÄN</t>
        </is>
      </c>
      <c r="G123" t="inlineStr">
        <is>
          <t>ÖSTRA GÖINGE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45410</v>
      </c>
      <c r="E124" s="1" t="n">
        <v>46307</v>
      </c>
      <c r="F124" t="inlineStr">
        <is>
          <t>SKÅNE LÄN</t>
        </is>
      </c>
      <c r="G124" t="inlineStr">
        <is>
          <t>ÖSTRA GÖINGE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46307</v>
      </c>
      <c r="F125" t="inlineStr">
        <is>
          <t>SKÅNE LÄN</t>
        </is>
      </c>
      <c r="G125" t="inlineStr">
        <is>
          <t>ÖSTRA GÖINGE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45373</v>
      </c>
      <c r="E126" s="1" t="n">
        <v>46307</v>
      </c>
      <c r="F126" t="inlineStr">
        <is>
          <t>SKÅNE LÄN</t>
        </is>
      </c>
      <c r="G126" t="inlineStr">
        <is>
          <t>ÖSTRA GÖINGE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74094-2021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44557</v>
      </c>
      <c r="E127" s="1" t="n">
        <v>46307</v>
      </c>
      <c r="F127" t="inlineStr">
        <is>
          <t>SKÅNE LÄN</t>
        </is>
      </c>
      <c r="G127" t="inlineStr">
        <is>
          <t>ÖSTRA GÖINGE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46307</v>
      </c>
      <c r="F128" t="inlineStr">
        <is>
          <t>SKÅNE LÄN</t>
        </is>
      </c>
      <c r="G128" t="inlineStr">
        <is>
          <t>ÖSTRA GÖINGE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45331</v>
      </c>
      <c r="E129" s="1" t="n">
        <v>46307</v>
      </c>
      <c r="F129" t="inlineStr">
        <is>
          <t>SKÅNE LÄN</t>
        </is>
      </c>
      <c r="G129" t="inlineStr">
        <is>
          <t>ÖSTRA GÖINGE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44742</v>
      </c>
      <c r="E130" s="1" t="n">
        <v>46307</v>
      </c>
      <c r="F130" t="inlineStr">
        <is>
          <t>SKÅNE LÄN</t>
        </is>
      </c>
      <c r="G130" t="inlineStr">
        <is>
          <t>ÖSTRA GÖINGE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45622</v>
      </c>
      <c r="E131" s="1" t="n">
        <v>46307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45574</v>
      </c>
      <c r="E132" s="1" t="n">
        <v>46307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46307</v>
      </c>
      <c r="F133" t="inlineStr">
        <is>
          <t>SKÅNE LÄN</t>
        </is>
      </c>
      <c r="G133" t="inlineStr">
        <is>
          <t>ÖSTRA GÖINGE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46307</v>
      </c>
      <c r="F134" t="inlineStr">
        <is>
          <t>SKÅNE LÄN</t>
        </is>
      </c>
      <c r="G134" t="inlineStr">
        <is>
          <t>ÖSTRA GÖINGE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46307</v>
      </c>
      <c r="F135" t="inlineStr">
        <is>
          <t>SKÅNE LÄN</t>
        </is>
      </c>
      <c r="G135" t="inlineStr">
        <is>
          <t>ÖSTRA GÖINGE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46307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46307</v>
      </c>
      <c r="F137" t="inlineStr">
        <is>
          <t>SKÅNE LÄN</t>
        </is>
      </c>
      <c r="G137" t="inlineStr">
        <is>
          <t>ÖSTRA GÖINGE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46307</v>
      </c>
      <c r="F138" t="inlineStr">
        <is>
          <t>SKÅNE LÄN</t>
        </is>
      </c>
      <c r="G138" t="inlineStr">
        <is>
          <t>ÖSTRA GÖINGE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46307</v>
      </c>
      <c r="F139" t="inlineStr">
        <is>
          <t>SKÅNE LÄN</t>
        </is>
      </c>
      <c r="G139" t="inlineStr">
        <is>
          <t>ÖSTRA GÖINGE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45205</v>
      </c>
      <c r="E140" s="1" t="n">
        <v>46307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45139</v>
      </c>
      <c r="E141" s="1" t="n">
        <v>46307</v>
      </c>
      <c r="F141" t="inlineStr">
        <is>
          <t>SKÅNE LÄN</t>
        </is>
      </c>
      <c r="G141" t="inlineStr">
        <is>
          <t>ÖSTRA GÖINGE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46307</v>
      </c>
      <c r="F142" t="inlineStr">
        <is>
          <t>SKÅNE LÄN</t>
        </is>
      </c>
      <c r="G142" t="inlineStr">
        <is>
          <t>ÖSTRA GÖINGE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46307</v>
      </c>
      <c r="F143" t="inlineStr">
        <is>
          <t>SKÅNE LÄN</t>
        </is>
      </c>
      <c r="G143" t="inlineStr">
        <is>
          <t>ÖSTRA GÖINGE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46307</v>
      </c>
      <c r="F144" t="inlineStr">
        <is>
          <t>SKÅNE LÄN</t>
        </is>
      </c>
      <c r="G144" t="inlineStr">
        <is>
          <t>ÖSTRA GÖINGE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45307</v>
      </c>
      <c r="E145" s="1" t="n">
        <v>46307</v>
      </c>
      <c r="F145" t="inlineStr">
        <is>
          <t>SKÅNE LÄN</t>
        </is>
      </c>
      <c r="G145" t="inlineStr">
        <is>
          <t>ÖSTRA GÖINGE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46307</v>
      </c>
      <c r="F146" t="inlineStr">
        <is>
          <t>SKÅNE LÄN</t>
        </is>
      </c>
      <c r="G146" t="inlineStr">
        <is>
          <t>ÖSTRA GÖINGE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46307</v>
      </c>
      <c r="F147" t="inlineStr">
        <is>
          <t>SKÅNE LÄN</t>
        </is>
      </c>
      <c r="G147" t="inlineStr">
        <is>
          <t>ÖSTRA GÖINGE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45331</v>
      </c>
      <c r="E148" s="1" t="n">
        <v>46307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46307</v>
      </c>
      <c r="F149" t="inlineStr">
        <is>
          <t>SKÅNE LÄN</t>
        </is>
      </c>
      <c r="G149" t="inlineStr">
        <is>
          <t>ÖSTRA GÖINGE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46307</v>
      </c>
      <c r="F150" t="inlineStr">
        <is>
          <t>SKÅNE LÄN</t>
        </is>
      </c>
      <c r="G150" t="inlineStr">
        <is>
          <t>ÖSTRA GÖINGE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44930</v>
      </c>
      <c r="E151" s="1" t="n">
        <v>46307</v>
      </c>
      <c r="F151" t="inlineStr">
        <is>
          <t>SKÅNE LÄN</t>
        </is>
      </c>
      <c r="G151" t="inlineStr">
        <is>
          <t>ÖSTRA GÖINGE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46307</v>
      </c>
      <c r="F152" t="inlineStr">
        <is>
          <t>SKÅNE LÄN</t>
        </is>
      </c>
      <c r="G152" t="inlineStr">
        <is>
          <t>ÖSTRA GÖINGE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45029</v>
      </c>
      <c r="E153" s="1" t="n">
        <v>46307</v>
      </c>
      <c r="F153" t="inlineStr">
        <is>
          <t>SKÅNE LÄN</t>
        </is>
      </c>
      <c r="G153" t="inlineStr">
        <is>
          <t>ÖSTRA GÖINGE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46307</v>
      </c>
      <c r="F154" t="inlineStr">
        <is>
          <t>SKÅNE LÄN</t>
        </is>
      </c>
      <c r="G154" t="inlineStr">
        <is>
          <t>ÖSTRA GÖINGE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46307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46307</v>
      </c>
      <c r="F156" t="inlineStr">
        <is>
          <t>SKÅNE LÄN</t>
        </is>
      </c>
      <c r="G156" t="inlineStr">
        <is>
          <t>ÖSTRA GÖINGE</t>
        </is>
      </c>
      <c r="H156" t="inlineStr">
        <is>
          <t>Kyrkan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46307</v>
      </c>
      <c r="F157" t="inlineStr">
        <is>
          <t>SKÅNE LÄN</t>
        </is>
      </c>
      <c r="G157" t="inlineStr">
        <is>
          <t>ÖSTRA GÖINGE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46307</v>
      </c>
      <c r="F158" t="inlineStr">
        <is>
          <t>SKÅNE LÄN</t>
        </is>
      </c>
      <c r="G158" t="inlineStr">
        <is>
          <t>ÖSTRA GÖINGE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46307</v>
      </c>
      <c r="F159" t="inlineStr">
        <is>
          <t>SKÅNE LÄN</t>
        </is>
      </c>
      <c r="G159" t="inlineStr">
        <is>
          <t>ÖSTRA GÖINGE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46307</v>
      </c>
      <c r="F160" t="inlineStr">
        <is>
          <t>SKÅNE LÄN</t>
        </is>
      </c>
      <c r="G160" t="inlineStr">
        <is>
          <t>ÖSTRA GÖINGE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46307</v>
      </c>
      <c r="F161" t="inlineStr">
        <is>
          <t>SKÅNE LÄN</t>
        </is>
      </c>
      <c r="G161" t="inlineStr">
        <is>
          <t>ÖSTRA GÖINGE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58518-2024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45635</v>
      </c>
      <c r="E162" s="1" t="n">
        <v>46307</v>
      </c>
      <c r="F162" t="inlineStr">
        <is>
          <t>SKÅNE LÄN</t>
        </is>
      </c>
      <c r="G162" t="inlineStr">
        <is>
          <t>ÖSTRA GÖINGE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46307</v>
      </c>
      <c r="F163" t="inlineStr">
        <is>
          <t>SKÅNE LÄN</t>
        </is>
      </c>
      <c r="G163" t="inlineStr">
        <is>
          <t>ÖSTRA GÖINGE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46307</v>
      </c>
      <c r="F164" t="inlineStr">
        <is>
          <t>SKÅNE LÄN</t>
        </is>
      </c>
      <c r="G164" t="inlineStr">
        <is>
          <t>ÖSTRA GÖINGE</t>
        </is>
      </c>
      <c r="I164" t="n">
        <v>10.4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46307</v>
      </c>
      <c r="F165" t="inlineStr">
        <is>
          <t>SKÅNE LÄN</t>
        </is>
      </c>
      <c r="G165" t="inlineStr">
        <is>
          <t>ÖSTRA GÖINGE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46307</v>
      </c>
      <c r="F166" t="inlineStr">
        <is>
          <t>SKÅNE LÄN</t>
        </is>
      </c>
      <c r="G166" t="inlineStr">
        <is>
          <t>ÖSTRA GÖINGE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45184</v>
      </c>
      <c r="E167" s="1" t="n">
        <v>46307</v>
      </c>
      <c r="F167" t="inlineStr">
        <is>
          <t>SKÅNE LÄN</t>
        </is>
      </c>
      <c r="G167" t="inlineStr">
        <is>
          <t>ÖSTRA GÖINGE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46307</v>
      </c>
      <c r="F168" t="inlineStr">
        <is>
          <t>SKÅNE LÄN</t>
        </is>
      </c>
      <c r="G168" t="inlineStr">
        <is>
          <t>ÖSTRA GÖINGE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69375-2021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44531</v>
      </c>
      <c r="E169" s="1" t="n">
        <v>46307</v>
      </c>
      <c r="F169" t="inlineStr">
        <is>
          <t>SKÅNE LÄN</t>
        </is>
      </c>
      <c r="G169" t="inlineStr">
        <is>
          <t>ÖSTRA GÖINGE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69393-2021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44531</v>
      </c>
      <c r="E170" s="1" t="n">
        <v>46307</v>
      </c>
      <c r="F170" t="inlineStr">
        <is>
          <t>SKÅNE LÄN</t>
        </is>
      </c>
      <c r="G170" t="inlineStr">
        <is>
          <t>ÖSTRA GÖINGE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46307</v>
      </c>
      <c r="F171" t="inlineStr">
        <is>
          <t>SKÅNE LÄN</t>
        </is>
      </c>
      <c r="G171" t="inlineStr">
        <is>
          <t>ÖSTRA GÖINGE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46307</v>
      </c>
      <c r="F172" t="inlineStr">
        <is>
          <t>SKÅNE LÄN</t>
        </is>
      </c>
      <c r="G172" t="inlineStr">
        <is>
          <t>ÖSTRA GÖINGE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46307</v>
      </c>
      <c r="F173" t="inlineStr">
        <is>
          <t>SKÅNE LÄN</t>
        </is>
      </c>
      <c r="G173" t="inlineStr">
        <is>
          <t>ÖSTRA GÖINGE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46307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46307</v>
      </c>
      <c r="F175" t="inlineStr">
        <is>
          <t>SKÅNE LÄN</t>
        </is>
      </c>
      <c r="G175" t="inlineStr">
        <is>
          <t>ÖSTRA GÖINGE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46307</v>
      </c>
      <c r="F176" t="inlineStr">
        <is>
          <t>SKÅNE LÄN</t>
        </is>
      </c>
      <c r="G176" t="inlineStr">
        <is>
          <t>ÖSTRA GÖINGE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46307</v>
      </c>
      <c r="F177" t="inlineStr">
        <is>
          <t>SKÅNE LÄN</t>
        </is>
      </c>
      <c r="G177" t="inlineStr">
        <is>
          <t>ÖSTRA GÖINGE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46307</v>
      </c>
      <c r="F178" t="inlineStr">
        <is>
          <t>SKÅNE LÄN</t>
        </is>
      </c>
      <c r="G178" t="inlineStr">
        <is>
          <t>ÖSTRA GÖINGE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46307</v>
      </c>
      <c r="F179" t="inlineStr">
        <is>
          <t>SKÅNE LÄN</t>
        </is>
      </c>
      <c r="G179" t="inlineStr">
        <is>
          <t>ÖSTRA GÖINGE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46307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46307</v>
      </c>
      <c r="F181" t="inlineStr">
        <is>
          <t>SKÅNE LÄN</t>
        </is>
      </c>
      <c r="G181" t="inlineStr">
        <is>
          <t>ÖSTRA GÖINGE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45105</v>
      </c>
      <c r="E182" s="1" t="n">
        <v>46307</v>
      </c>
      <c r="F182" t="inlineStr">
        <is>
          <t>SKÅNE LÄN</t>
        </is>
      </c>
      <c r="G182" t="inlineStr">
        <is>
          <t>ÖSTRA GÖINGE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46307</v>
      </c>
      <c r="F183" t="inlineStr">
        <is>
          <t>SKÅNE LÄN</t>
        </is>
      </c>
      <c r="G183" t="inlineStr">
        <is>
          <t>ÖSTRA GÖINGE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46307</v>
      </c>
      <c r="F184" t="inlineStr">
        <is>
          <t>SKÅNE LÄN</t>
        </is>
      </c>
      <c r="G184" t="inlineStr">
        <is>
          <t>ÖSTRA GÖINGE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46307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46307</v>
      </c>
      <c r="F186" t="inlineStr">
        <is>
          <t>SKÅNE LÄN</t>
        </is>
      </c>
      <c r="G186" t="inlineStr">
        <is>
          <t>ÖSTRA GÖINGE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74142-2021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44557</v>
      </c>
      <c r="E187" s="1" t="n">
        <v>46307</v>
      </c>
      <c r="F187" t="inlineStr">
        <is>
          <t>SKÅNE LÄN</t>
        </is>
      </c>
      <c r="G187" t="inlineStr">
        <is>
          <t>ÖSTRA GÖINGE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46307</v>
      </c>
      <c r="F188" t="inlineStr">
        <is>
          <t>SKÅNE LÄN</t>
        </is>
      </c>
      <c r="G188" t="inlineStr">
        <is>
          <t>ÖSTRA GÖINGE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46307</v>
      </c>
      <c r="F189" t="inlineStr">
        <is>
          <t>SKÅNE LÄN</t>
        </is>
      </c>
      <c r="G189" t="inlineStr">
        <is>
          <t>ÖSTRA GÖINGE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46307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46307</v>
      </c>
      <c r="F191" t="inlineStr">
        <is>
          <t>SKÅNE LÄN</t>
        </is>
      </c>
      <c r="G191" t="inlineStr">
        <is>
          <t>ÖSTRA GÖINGE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46307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46307</v>
      </c>
      <c r="F193" t="inlineStr">
        <is>
          <t>SKÅNE LÄN</t>
        </is>
      </c>
      <c r="G193" t="inlineStr">
        <is>
          <t>ÖSTRA GÖINGE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44910</v>
      </c>
      <c r="E194" s="1" t="n">
        <v>46307</v>
      </c>
      <c r="F194" t="inlineStr">
        <is>
          <t>SKÅNE LÄN</t>
        </is>
      </c>
      <c r="G194" t="inlineStr">
        <is>
          <t>ÖSTRA GÖINGE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46307</v>
      </c>
      <c r="F195" t="inlineStr">
        <is>
          <t>SKÅNE LÄN</t>
        </is>
      </c>
      <c r="G195" t="inlineStr">
        <is>
          <t>ÖSTRA GÖINGE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46307</v>
      </c>
      <c r="F196" t="inlineStr">
        <is>
          <t>SKÅNE LÄN</t>
        </is>
      </c>
      <c r="G196" t="inlineStr">
        <is>
          <t>ÖSTRA GÖINGE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46307</v>
      </c>
      <c r="F197" t="inlineStr">
        <is>
          <t>SKÅNE LÄN</t>
        </is>
      </c>
      <c r="G197" t="inlineStr">
        <is>
          <t>ÖSTRA GÖINGE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45564</v>
      </c>
      <c r="E198" s="1" t="n">
        <v>46307</v>
      </c>
      <c r="F198" t="inlineStr">
        <is>
          <t>SKÅNE LÄN</t>
        </is>
      </c>
      <c r="G198" t="inlineStr">
        <is>
          <t>ÖSTRA GÖINGE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45408</v>
      </c>
      <c r="E199" s="1" t="n">
        <v>46307</v>
      </c>
      <c r="F199" t="inlineStr">
        <is>
          <t>SKÅNE LÄN</t>
        </is>
      </c>
      <c r="G199" t="inlineStr">
        <is>
          <t>ÖSTRA GÖINGE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46307</v>
      </c>
      <c r="F200" t="inlineStr">
        <is>
          <t>SKÅNE LÄN</t>
        </is>
      </c>
      <c r="G200" t="inlineStr">
        <is>
          <t>ÖSTRA GÖINGE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46307</v>
      </c>
      <c r="F201" t="inlineStr">
        <is>
          <t>SKÅNE LÄN</t>
        </is>
      </c>
      <c r="G201" t="inlineStr">
        <is>
          <t>ÖSTRA GÖINGE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46307</v>
      </c>
      <c r="F202" t="inlineStr">
        <is>
          <t>SKÅNE LÄN</t>
        </is>
      </c>
      <c r="G202" t="inlineStr">
        <is>
          <t>ÖSTRA GÖINGE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46307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46307</v>
      </c>
      <c r="F204" t="inlineStr">
        <is>
          <t>SKÅNE LÄN</t>
        </is>
      </c>
      <c r="G204" t="inlineStr">
        <is>
          <t>ÖSTRA GÖINGE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46307</v>
      </c>
      <c r="F205" t="inlineStr">
        <is>
          <t>SKÅNE LÄN</t>
        </is>
      </c>
      <c r="G205" t="inlineStr">
        <is>
          <t>ÖSTRA GÖINGE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69387-2021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44531</v>
      </c>
      <c r="E206" s="1" t="n">
        <v>46307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46307</v>
      </c>
      <c r="F207" t="inlineStr">
        <is>
          <t>SKÅNE LÄN</t>
        </is>
      </c>
      <c r="G207" t="inlineStr">
        <is>
          <t>ÖSTRA GÖINGE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46307</v>
      </c>
      <c r="F208" t="inlineStr">
        <is>
          <t>SKÅNE LÄN</t>
        </is>
      </c>
      <c r="G208" t="inlineStr">
        <is>
          <t>ÖSTRA GÖINGE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46307</v>
      </c>
      <c r="F209" t="inlineStr">
        <is>
          <t>SKÅNE LÄN</t>
        </is>
      </c>
      <c r="G209" t="inlineStr">
        <is>
          <t>ÖSTRA GÖINGE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46307</v>
      </c>
      <c r="F210" t="inlineStr">
        <is>
          <t>SKÅNE LÄN</t>
        </is>
      </c>
      <c r="G210" t="inlineStr">
        <is>
          <t>ÖSTRA GÖINGE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46307</v>
      </c>
      <c r="F211" t="inlineStr">
        <is>
          <t>SKÅNE LÄN</t>
        </is>
      </c>
      <c r="G211" t="inlineStr">
        <is>
          <t>ÖSTRA GÖINGE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46307</v>
      </c>
      <c r="F212" t="inlineStr">
        <is>
          <t>SKÅNE LÄN</t>
        </is>
      </c>
      <c r="G212" t="inlineStr">
        <is>
          <t>ÖSTRA GÖINGE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46307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46307</v>
      </c>
      <c r="F214" t="inlineStr">
        <is>
          <t>SKÅNE LÄN</t>
        </is>
      </c>
      <c r="G214" t="inlineStr">
        <is>
          <t>ÖSTRA GÖINGE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46307</v>
      </c>
      <c r="F215" t="inlineStr">
        <is>
          <t>SKÅNE LÄN</t>
        </is>
      </c>
      <c r="G215" t="inlineStr">
        <is>
          <t>ÖSTRA GÖINGE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46307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46279-2024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45581</v>
      </c>
      <c r="E217" s="1" t="n">
        <v>46307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46307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46307</v>
      </c>
      <c r="F219" t="inlineStr">
        <is>
          <t>SKÅNE LÄN</t>
        </is>
      </c>
      <c r="G219" t="inlineStr">
        <is>
          <t>ÖSTRA GÖINGE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46307</v>
      </c>
      <c r="F220" t="inlineStr">
        <is>
          <t>SKÅNE LÄN</t>
        </is>
      </c>
      <c r="G220" t="inlineStr">
        <is>
          <t>ÖSTRA GÖINGE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45935</v>
      </c>
      <c r="E221" s="1" t="n">
        <v>46307</v>
      </c>
      <c r="F221" t="inlineStr">
        <is>
          <t>SKÅNE LÄN</t>
        </is>
      </c>
      <c r="G221" t="inlineStr">
        <is>
          <t>ÖSTRA GÖINGE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34931-2023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45142</v>
      </c>
      <c r="E222" s="1" t="n">
        <v>46307</v>
      </c>
      <c r="F222" t="inlineStr">
        <is>
          <t>SKÅNE LÄN</t>
        </is>
      </c>
      <c r="G222" t="inlineStr">
        <is>
          <t>ÖSTRA GÖINGE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46307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46307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45686</v>
      </c>
      <c r="E225" s="1" t="n">
        <v>46307</v>
      </c>
      <c r="F225" t="inlineStr">
        <is>
          <t>SKÅNE LÄN</t>
        </is>
      </c>
      <c r="G225" t="inlineStr">
        <is>
          <t>ÖSTRA GÖINGE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46307</v>
      </c>
      <c r="F226" t="inlineStr">
        <is>
          <t>SKÅNE LÄN</t>
        </is>
      </c>
      <c r="G226" t="inlineStr">
        <is>
          <t>ÖSTRA GÖINGE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46307</v>
      </c>
      <c r="F227" t="inlineStr">
        <is>
          <t>SKÅNE LÄN</t>
        </is>
      </c>
      <c r="G227" t="inlineStr">
        <is>
          <t>ÖSTRA GÖINGE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46307</v>
      </c>
      <c r="F228" t="inlineStr">
        <is>
          <t>SKÅNE LÄN</t>
        </is>
      </c>
      <c r="G228" t="inlineStr">
        <is>
          <t>ÖSTRA GÖINGE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46307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46307</v>
      </c>
      <c r="F230" t="inlineStr">
        <is>
          <t>SKÅNE LÄN</t>
        </is>
      </c>
      <c r="G230" t="inlineStr">
        <is>
          <t>ÖSTRA GÖINGE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46307</v>
      </c>
      <c r="F231" t="inlineStr">
        <is>
          <t>SKÅNE LÄN</t>
        </is>
      </c>
      <c r="G231" t="inlineStr">
        <is>
          <t>ÖSTRA GÖINGE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58868-2021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46307</v>
      </c>
      <c r="F232" t="inlineStr">
        <is>
          <t>SKÅNE LÄN</t>
        </is>
      </c>
      <c r="G232" t="inlineStr">
        <is>
          <t>ÖSTRA GÖINGE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46307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36324-2022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44803</v>
      </c>
      <c r="E234" s="1" t="n">
        <v>46307</v>
      </c>
      <c r="F234" t="inlineStr">
        <is>
          <t>SKÅNE LÄN</t>
        </is>
      </c>
      <c r="G234" t="inlineStr">
        <is>
          <t>ÖSTRA GÖINGE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46307</v>
      </c>
      <c r="F235" t="inlineStr">
        <is>
          <t>SKÅNE LÄN</t>
        </is>
      </c>
      <c r="G235" t="inlineStr">
        <is>
          <t>ÖSTRA GÖINGE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42192-2023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45179</v>
      </c>
      <c r="E236" s="1" t="n">
        <v>46307</v>
      </c>
      <c r="F236" t="inlineStr">
        <is>
          <t>SKÅNE LÄN</t>
        </is>
      </c>
      <c r="G236" t="inlineStr">
        <is>
          <t>ÖSTRA GÖINGE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46307</v>
      </c>
      <c r="F237" t="inlineStr">
        <is>
          <t>SKÅNE LÄN</t>
        </is>
      </c>
      <c r="G237" t="inlineStr">
        <is>
          <t>ÖSTRA GÖINGE</t>
        </is>
      </c>
      <c r="I237" t="n">
        <v>15.4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45758</v>
      </c>
      <c r="E238" s="1" t="n">
        <v>46307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46307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45256</v>
      </c>
      <c r="E240" s="1" t="n">
        <v>46307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46307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46307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46307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46307</v>
      </c>
      <c r="F244" t="inlineStr">
        <is>
          <t>SKÅNE LÄN</t>
        </is>
      </c>
      <c r="G244" t="inlineStr">
        <is>
          <t>ÖSTRA GÖINGE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46307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46307</v>
      </c>
      <c r="F246" t="inlineStr">
        <is>
          <t>SKÅNE LÄN</t>
        </is>
      </c>
      <c r="G246" t="inlineStr">
        <is>
          <t>ÖSTRA GÖINGE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45774</v>
      </c>
      <c r="E247" s="1" t="n">
        <v>46307</v>
      </c>
      <c r="F247" t="inlineStr">
        <is>
          <t>SKÅNE LÄN</t>
        </is>
      </c>
      <c r="G247" t="inlineStr">
        <is>
          <t>ÖSTRA GÖINGE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46307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46307</v>
      </c>
      <c r="F249" t="inlineStr">
        <is>
          <t>SKÅNE LÄN</t>
        </is>
      </c>
      <c r="G249" t="inlineStr">
        <is>
          <t>ÖSTRA GÖINGE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46307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46307</v>
      </c>
      <c r="F251" t="inlineStr">
        <is>
          <t>SKÅNE LÄN</t>
        </is>
      </c>
      <c r="G251" t="inlineStr">
        <is>
          <t>ÖSTRA GÖINGE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46307</v>
      </c>
      <c r="F252" t="inlineStr">
        <is>
          <t>SKÅNE LÄN</t>
        </is>
      </c>
      <c r="G252" t="inlineStr">
        <is>
          <t>ÖSTRA GÖINGE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46307</v>
      </c>
      <c r="F253" t="inlineStr">
        <is>
          <t>SKÅNE LÄN</t>
        </is>
      </c>
      <c r="G253" t="inlineStr">
        <is>
          <t>ÖSTRA GÖINGE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46307</v>
      </c>
      <c r="F254" t="inlineStr">
        <is>
          <t>SKÅNE LÄN</t>
        </is>
      </c>
      <c r="G254" t="inlineStr">
        <is>
          <t>ÖSTRA GÖINGE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46307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46307</v>
      </c>
      <c r="F256" t="inlineStr">
        <is>
          <t>SKÅNE LÄN</t>
        </is>
      </c>
      <c r="G256" t="inlineStr">
        <is>
          <t>ÖSTRA GÖINGE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46307</v>
      </c>
      <c r="F257" t="inlineStr">
        <is>
          <t>SKÅNE LÄN</t>
        </is>
      </c>
      <c r="G257" t="inlineStr">
        <is>
          <t>ÖSTRA GÖINGE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46307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44686</v>
      </c>
      <c r="E259" s="1" t="n">
        <v>46307</v>
      </c>
      <c r="F259" t="inlineStr">
        <is>
          <t>SKÅNE LÄN</t>
        </is>
      </c>
      <c r="G259" t="inlineStr">
        <is>
          <t>ÖSTRA GÖINGE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46307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46307</v>
      </c>
      <c r="F261" t="inlineStr">
        <is>
          <t>SKÅNE LÄN</t>
        </is>
      </c>
      <c r="G261" t="inlineStr">
        <is>
          <t>ÖSTRA GÖINGE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27318-2022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44742</v>
      </c>
      <c r="E262" s="1" t="n">
        <v>46307</v>
      </c>
      <c r="F262" t="inlineStr">
        <is>
          <t>SKÅNE LÄN</t>
        </is>
      </c>
      <c r="G262" t="inlineStr">
        <is>
          <t>ÖSTRA GÖINGE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46307</v>
      </c>
      <c r="F263" t="inlineStr">
        <is>
          <t>SKÅNE LÄN</t>
        </is>
      </c>
      <c r="G263" t="inlineStr">
        <is>
          <t>ÖSTRA GÖINGE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46307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46307</v>
      </c>
      <c r="F265" t="inlineStr">
        <is>
          <t>SKÅNE LÄN</t>
        </is>
      </c>
      <c r="G265" t="inlineStr">
        <is>
          <t>ÖSTRA GÖINGE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46307</v>
      </c>
      <c r="F266" t="inlineStr">
        <is>
          <t>SKÅNE LÄN</t>
        </is>
      </c>
      <c r="G266" t="inlineStr">
        <is>
          <t>ÖSTRA GÖINGE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46307</v>
      </c>
      <c r="F267" t="inlineStr">
        <is>
          <t>SKÅNE LÄN</t>
        </is>
      </c>
      <c r="G267" t="inlineStr">
        <is>
          <t>ÖSTRA GÖINGE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46307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46307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46307</v>
      </c>
      <c r="F270" t="inlineStr">
        <is>
          <t>SKÅNE LÄN</t>
        </is>
      </c>
      <c r="G270" t="inlineStr">
        <is>
          <t>ÖSTRA GÖINGE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46307</v>
      </c>
      <c r="F271" t="inlineStr">
        <is>
          <t>SKÅNE LÄN</t>
        </is>
      </c>
      <c r="G271" t="inlineStr">
        <is>
          <t>ÖSTRA GÖINGE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46307</v>
      </c>
      <c r="F272" t="inlineStr">
        <is>
          <t>SKÅNE LÄN</t>
        </is>
      </c>
      <c r="G272" t="inlineStr">
        <is>
          <t>ÖSTRA GÖINGE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46307</v>
      </c>
      <c r="F273" t="inlineStr">
        <is>
          <t>SKÅNE LÄN</t>
        </is>
      </c>
      <c r="G273" t="inlineStr">
        <is>
          <t>ÖSTRA GÖINGE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46307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45970</v>
      </c>
      <c r="E275" s="1" t="n">
        <v>46307</v>
      </c>
      <c r="F275" t="inlineStr">
        <is>
          <t>SKÅNE LÄN</t>
        </is>
      </c>
      <c r="G275" t="inlineStr">
        <is>
          <t>ÖSTRA GÖINGE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45727</v>
      </c>
      <c r="E276" s="1" t="n">
        <v>46307</v>
      </c>
      <c r="F276" t="inlineStr">
        <is>
          <t>SKÅNE LÄN</t>
        </is>
      </c>
      <c r="G276" t="inlineStr">
        <is>
          <t>ÖSTRA GÖINGE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46307</v>
      </c>
      <c r="F277" t="inlineStr">
        <is>
          <t>SKÅNE LÄN</t>
        </is>
      </c>
      <c r="G277" t="inlineStr">
        <is>
          <t>ÖSTRA GÖINGE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45848</v>
      </c>
      <c r="E278" s="1" t="n">
        <v>46307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46307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11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46307</v>
      </c>
      <c r="F280" t="inlineStr">
        <is>
          <t>SKÅNE LÄN</t>
        </is>
      </c>
      <c r="G280" t="inlineStr">
        <is>
          <t>ÖSTRA GÖINGE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46307</v>
      </c>
      <c r="F281" t="inlineStr">
        <is>
          <t>SKÅNE LÄN</t>
        </is>
      </c>
      <c r="G281" t="inlineStr">
        <is>
          <t>ÖSTRA GÖINGE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44915</v>
      </c>
      <c r="E282" s="1" t="n">
        <v>46307</v>
      </c>
      <c r="F282" t="inlineStr">
        <is>
          <t>SKÅNE LÄN</t>
        </is>
      </c>
      <c r="G282" t="inlineStr">
        <is>
          <t>ÖSTRA GÖINGE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46307</v>
      </c>
      <c r="F283" t="inlineStr">
        <is>
          <t>SKÅNE LÄN</t>
        </is>
      </c>
      <c r="G283" t="inlineStr">
        <is>
          <t>ÖSTRA GÖINGE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46307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46307</v>
      </c>
      <c r="F285" t="inlineStr">
        <is>
          <t>SKÅNE LÄN</t>
        </is>
      </c>
      <c r="G285" t="inlineStr">
        <is>
          <t>ÖSTRA GÖINGE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46307</v>
      </c>
      <c r="F286" t="inlineStr">
        <is>
          <t>SKÅNE LÄN</t>
        </is>
      </c>
      <c r="G286" t="inlineStr">
        <is>
          <t>ÖSTRA GÖINGE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46307</v>
      </c>
      <c r="F287" t="inlineStr">
        <is>
          <t>SKÅNE LÄN</t>
        </is>
      </c>
      <c r="G287" t="inlineStr">
        <is>
          <t>ÖSTRA GÖINGE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45022</v>
      </c>
      <c r="E288" s="1" t="n">
        <v>46307</v>
      </c>
      <c r="F288" t="inlineStr">
        <is>
          <t>SKÅNE LÄN</t>
        </is>
      </c>
      <c r="G288" t="inlineStr">
        <is>
          <t>ÖSTRA GÖINGE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45349</v>
      </c>
      <c r="E289" s="1" t="n">
        <v>46307</v>
      </c>
      <c r="F289" t="inlineStr">
        <is>
          <t>SKÅNE LÄN</t>
        </is>
      </c>
      <c r="G289" t="inlineStr">
        <is>
          <t>ÖSTRA GÖINGE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46307</v>
      </c>
      <c r="F290" t="inlineStr">
        <is>
          <t>SKÅNE LÄN</t>
        </is>
      </c>
      <c r="G290" t="inlineStr">
        <is>
          <t>ÖSTRA GÖINGE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46307</v>
      </c>
      <c r="F291" t="inlineStr">
        <is>
          <t>SKÅNE LÄN</t>
        </is>
      </c>
      <c r="G291" t="inlineStr">
        <is>
          <t>ÖSTRA GÖINGE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24028-2022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44723</v>
      </c>
      <c r="E292" s="1" t="n">
        <v>46307</v>
      </c>
      <c r="F292" t="inlineStr">
        <is>
          <t>SKÅNE LÄN</t>
        </is>
      </c>
      <c r="G292" t="inlineStr">
        <is>
          <t>ÖSTRA GÖINGE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35547-2023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45146</v>
      </c>
      <c r="E293" s="1" t="n">
        <v>46307</v>
      </c>
      <c r="F293" t="inlineStr">
        <is>
          <t>SKÅNE LÄN</t>
        </is>
      </c>
      <c r="G293" t="inlineStr">
        <is>
          <t>ÖSTRA GÖINGE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46307</v>
      </c>
      <c r="F294" t="inlineStr">
        <is>
          <t>SKÅNE LÄN</t>
        </is>
      </c>
      <c r="G294" t="inlineStr">
        <is>
          <t>ÖSTRA GÖINGE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46307</v>
      </c>
      <c r="F295" t="inlineStr">
        <is>
          <t>SKÅNE LÄN</t>
        </is>
      </c>
      <c r="G295" t="inlineStr">
        <is>
          <t>ÖSTRA GÖINGE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46307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46307</v>
      </c>
      <c r="F297" t="inlineStr">
        <is>
          <t>SKÅNE LÄN</t>
        </is>
      </c>
      <c r="G297" t="inlineStr">
        <is>
          <t>ÖSTRA GÖINGE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46307</v>
      </c>
      <c r="F298" t="inlineStr">
        <is>
          <t>SKÅNE LÄN</t>
        </is>
      </c>
      <c r="G298" t="inlineStr">
        <is>
          <t>ÖSTRA GÖINGE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45310</v>
      </c>
      <c r="E299" s="1" t="n">
        <v>46307</v>
      </c>
      <c r="F299" t="inlineStr">
        <is>
          <t>SKÅNE LÄN</t>
        </is>
      </c>
      <c r="G299" t="inlineStr">
        <is>
          <t>ÖSTRA GÖINGE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46307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46307</v>
      </c>
      <c r="F301" t="inlineStr">
        <is>
          <t>SKÅNE LÄN</t>
        </is>
      </c>
      <c r="G301" t="inlineStr">
        <is>
          <t>ÖSTRA GÖINGE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46307</v>
      </c>
      <c r="F302" t="inlineStr">
        <is>
          <t>SKÅNE LÄN</t>
        </is>
      </c>
      <c r="G302" t="inlineStr">
        <is>
          <t>ÖSTRA GÖINGE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45443</v>
      </c>
      <c r="E303" s="1" t="n">
        <v>46307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46307</v>
      </c>
      <c r="F304" t="inlineStr">
        <is>
          <t>SKÅNE LÄN</t>
        </is>
      </c>
      <c r="G304" t="inlineStr">
        <is>
          <t>ÖSTRA GÖINGE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46307</v>
      </c>
      <c r="F305" t="inlineStr">
        <is>
          <t>SKÅNE LÄN</t>
        </is>
      </c>
      <c r="G305" t="inlineStr">
        <is>
          <t>ÖSTRA GÖINGE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46307</v>
      </c>
      <c r="F306" t="inlineStr">
        <is>
          <t>SKÅNE LÄN</t>
        </is>
      </c>
      <c r="G306" t="inlineStr">
        <is>
          <t>ÖSTRA GÖINGE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45239</v>
      </c>
      <c r="E307" s="1" t="n">
        <v>46307</v>
      </c>
      <c r="F307" t="inlineStr">
        <is>
          <t>SKÅNE LÄN</t>
        </is>
      </c>
      <c r="G307" t="inlineStr">
        <is>
          <t>ÖSTRA GÖINGE</t>
        </is>
      </c>
      <c r="I307" t="n">
        <v>10.6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45643</v>
      </c>
      <c r="E308" s="1" t="n">
        <v>46307</v>
      </c>
      <c r="F308" t="inlineStr">
        <is>
          <t>SKÅNE LÄN</t>
        </is>
      </c>
      <c r="G308" t="inlineStr">
        <is>
          <t>ÖSTRA GÖINGE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47584-2023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45203</v>
      </c>
      <c r="E309" s="1" t="n">
        <v>46307</v>
      </c>
      <c r="F309" t="inlineStr">
        <is>
          <t>SKÅNE LÄN</t>
        </is>
      </c>
      <c r="G309" t="inlineStr">
        <is>
          <t>ÖSTRA GÖINGE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46307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55140-2022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46307</v>
      </c>
      <c r="F311" t="inlineStr">
        <is>
          <t>SKÅNE LÄN</t>
        </is>
      </c>
      <c r="G311" t="inlineStr">
        <is>
          <t>ÖSTRA GÖINGE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46307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46307</v>
      </c>
      <c r="F313" t="inlineStr">
        <is>
          <t>SKÅNE LÄN</t>
        </is>
      </c>
      <c r="G313" t="inlineStr">
        <is>
          <t>ÖSTRA GÖINGE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46307</v>
      </c>
      <c r="F314" t="inlineStr">
        <is>
          <t>SKÅNE LÄN</t>
        </is>
      </c>
      <c r="G314" t="inlineStr">
        <is>
          <t>ÖSTRA GÖINGE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64181-2023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45279</v>
      </c>
      <c r="E315" s="1" t="n">
        <v>46307</v>
      </c>
      <c r="F315" t="inlineStr">
        <is>
          <t>SKÅNE LÄN</t>
        </is>
      </c>
      <c r="G315" t="inlineStr">
        <is>
          <t>ÖSTRA GÖINGE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45539</v>
      </c>
      <c r="E316" s="1" t="n">
        <v>46307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46307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46307</v>
      </c>
      <c r="F318" t="inlineStr">
        <is>
          <t>SKÅNE LÄN</t>
        </is>
      </c>
      <c r="G318" t="inlineStr">
        <is>
          <t>ÖSTRA GÖINGE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46307</v>
      </c>
      <c r="F319" t="inlineStr">
        <is>
          <t>SKÅNE LÄN</t>
        </is>
      </c>
      <c r="G319" t="inlineStr">
        <is>
          <t>ÖSTRA GÖINGE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46307</v>
      </c>
      <c r="F320" t="inlineStr">
        <is>
          <t>SKÅNE LÄN</t>
        </is>
      </c>
      <c r="G320" t="inlineStr">
        <is>
          <t>ÖSTRA GÖINGE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44918</v>
      </c>
      <c r="E321" s="1" t="n">
        <v>46307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46307</v>
      </c>
      <c r="F322" t="inlineStr">
        <is>
          <t>SKÅNE LÄN</t>
        </is>
      </c>
      <c r="G322" t="inlineStr">
        <is>
          <t>ÖSTRA GÖINGE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45069</v>
      </c>
      <c r="E323" s="1" t="n">
        <v>46307</v>
      </c>
      <c r="F323" t="inlineStr">
        <is>
          <t>SKÅNE LÄN</t>
        </is>
      </c>
      <c r="G323" t="inlineStr">
        <is>
          <t>ÖSTRA GÖINGE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46307</v>
      </c>
      <c r="F324" t="inlineStr">
        <is>
          <t>SKÅNE LÄN</t>
        </is>
      </c>
      <c r="G324" t="inlineStr">
        <is>
          <t>ÖSTRA GÖINGE</t>
        </is>
      </c>
      <c r="I324" t="n">
        <v>12.8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46307</v>
      </c>
      <c r="F325" t="inlineStr">
        <is>
          <t>SKÅNE LÄN</t>
        </is>
      </c>
      <c r="G325" t="inlineStr">
        <is>
          <t>ÖSTRA GÖINGE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46307</v>
      </c>
      <c r="F326" t="inlineStr">
        <is>
          <t>SKÅNE LÄN</t>
        </is>
      </c>
      <c r="G326" t="inlineStr">
        <is>
          <t>ÖSTRA GÖINGE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44519</v>
      </c>
      <c r="E327" s="1" t="n">
        <v>46307</v>
      </c>
      <c r="F327" t="inlineStr">
        <is>
          <t>SKÅNE LÄN</t>
        </is>
      </c>
      <c r="G327" t="inlineStr">
        <is>
          <t>ÖSTRA GÖINGE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7387-2022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44606</v>
      </c>
      <c r="E328" s="1" t="n">
        <v>46307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46307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46307</v>
      </c>
      <c r="F330" t="inlineStr">
        <is>
          <t>SKÅNE LÄN</t>
        </is>
      </c>
      <c r="G330" t="inlineStr">
        <is>
          <t>ÖSTRA GÖINGE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46307</v>
      </c>
      <c r="F331" t="inlineStr">
        <is>
          <t>SKÅNE LÄN</t>
        </is>
      </c>
      <c r="G331" t="inlineStr">
        <is>
          <t>ÖSTRA GÖINGE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46307</v>
      </c>
      <c r="F332" t="inlineStr">
        <is>
          <t>SKÅNE LÄN</t>
        </is>
      </c>
      <c r="G332" t="inlineStr">
        <is>
          <t>ÖSTRA GÖINGE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46307</v>
      </c>
      <c r="F333" t="inlineStr">
        <is>
          <t>SKÅNE LÄN</t>
        </is>
      </c>
      <c r="G333" t="inlineStr">
        <is>
          <t>ÖSTRA GÖINGE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46307</v>
      </c>
      <c r="F334" t="inlineStr">
        <is>
          <t>SKÅNE LÄN</t>
        </is>
      </c>
      <c r="G334" t="inlineStr">
        <is>
          <t>ÖSTRA GÖINGE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44852</v>
      </c>
      <c r="E335" s="1" t="n">
        <v>46307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44593</v>
      </c>
      <c r="E336" s="1" t="n">
        <v>46307</v>
      </c>
      <c r="F336" t="inlineStr">
        <is>
          <t>SKÅNE LÄN</t>
        </is>
      </c>
      <c r="G336" t="inlineStr">
        <is>
          <t>ÖSTRA GÖINGE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46307</v>
      </c>
      <c r="F337" t="inlineStr">
        <is>
          <t>SKÅNE LÄN</t>
        </is>
      </c>
      <c r="G337" t="inlineStr">
        <is>
          <t>ÖSTRA GÖINGE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46307</v>
      </c>
      <c r="F338" t="inlineStr">
        <is>
          <t>SKÅNE LÄN</t>
        </is>
      </c>
      <c r="G338" t="inlineStr">
        <is>
          <t>ÖSTRA GÖINGE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46307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46307</v>
      </c>
      <c r="F340" t="inlineStr">
        <is>
          <t>SKÅNE LÄN</t>
        </is>
      </c>
      <c r="G340" t="inlineStr">
        <is>
          <t>ÖSTRA GÖINGE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45967</v>
      </c>
      <c r="E341" s="1" t="n">
        <v>46307</v>
      </c>
      <c r="F341" t="inlineStr">
        <is>
          <t>SKÅNE LÄN</t>
        </is>
      </c>
      <c r="G341" t="inlineStr">
        <is>
          <t>ÖSTRA GÖINGE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46307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44627</v>
      </c>
      <c r="E343" s="1" t="n">
        <v>46307</v>
      </c>
      <c r="F343" t="inlineStr">
        <is>
          <t>SKÅNE LÄN</t>
        </is>
      </c>
      <c r="G343" t="inlineStr">
        <is>
          <t>ÖSTRA GÖINGE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46307</v>
      </c>
      <c r="F344" t="inlineStr">
        <is>
          <t>SKÅNE LÄN</t>
        </is>
      </c>
      <c r="G344" t="inlineStr">
        <is>
          <t>ÖSTRA GÖINGE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46307</v>
      </c>
      <c r="F345" t="inlineStr">
        <is>
          <t>SKÅNE LÄN</t>
        </is>
      </c>
      <c r="G345" t="inlineStr">
        <is>
          <t>ÖSTRA GÖINGE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46307</v>
      </c>
      <c r="F346" t="inlineStr">
        <is>
          <t>SKÅNE LÄN</t>
        </is>
      </c>
      <c r="G346" t="inlineStr">
        <is>
          <t>ÖSTRA GÖINGE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46307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45820</v>
      </c>
      <c r="E348" s="1" t="n">
        <v>46307</v>
      </c>
      <c r="F348" t="inlineStr">
        <is>
          <t>SKÅNE LÄN</t>
        </is>
      </c>
      <c r="G348" t="inlineStr">
        <is>
          <t>ÖSTRA GÖINGE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46307</v>
      </c>
      <c r="F349" t="inlineStr">
        <is>
          <t>SKÅNE LÄN</t>
        </is>
      </c>
      <c r="G349" t="inlineStr">
        <is>
          <t>ÖSTRA GÖINGE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45141</v>
      </c>
      <c r="E350" s="1" t="n">
        <v>46307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44602</v>
      </c>
      <c r="E351" s="1" t="n">
        <v>46307</v>
      </c>
      <c r="F351" t="inlineStr">
        <is>
          <t>SKÅNE LÄN</t>
        </is>
      </c>
      <c r="G351" t="inlineStr">
        <is>
          <t>ÖSTRA GÖINGE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45777-2025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46307</v>
      </c>
      <c r="F352" t="inlineStr">
        <is>
          <t>SKÅNE LÄN</t>
        </is>
      </c>
      <c r="G352" t="inlineStr">
        <is>
          <t>ÖSTRA GÖINGE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45541</v>
      </c>
      <c r="E353" s="1" t="n">
        <v>46307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45541</v>
      </c>
      <c r="E354" s="1" t="n">
        <v>46307</v>
      </c>
      <c r="F354" t="inlineStr">
        <is>
          <t>SKÅNE LÄN</t>
        </is>
      </c>
      <c r="G354" t="inlineStr">
        <is>
          <t>ÖSTRA GÖINGE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46307</v>
      </c>
      <c r="F355" t="inlineStr">
        <is>
          <t>SKÅNE LÄN</t>
        </is>
      </c>
      <c r="G355" t="inlineStr">
        <is>
          <t>ÖSTRA GÖINGE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46307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46307</v>
      </c>
      <c r="F357" t="inlineStr">
        <is>
          <t>SKÅNE LÄN</t>
        </is>
      </c>
      <c r="G357" t="inlineStr">
        <is>
          <t>ÖSTRA GÖINGE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46307</v>
      </c>
      <c r="F358" t="inlineStr">
        <is>
          <t>SKÅNE LÄN</t>
        </is>
      </c>
      <c r="G358" t="inlineStr">
        <is>
          <t>ÖSTRA GÖINGE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46307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46307</v>
      </c>
      <c r="F360" t="inlineStr">
        <is>
          <t>SKÅNE LÄN</t>
        </is>
      </c>
      <c r="G360" t="inlineStr">
        <is>
          <t>ÖSTRA GÖINGE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46307</v>
      </c>
      <c r="F361" t="inlineStr">
        <is>
          <t>SKÅNE LÄN</t>
        </is>
      </c>
      <c r="G361" t="inlineStr">
        <is>
          <t>ÖSTRA GÖINGE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46307</v>
      </c>
      <c r="F362" t="inlineStr">
        <is>
          <t>SKÅNE LÄN</t>
        </is>
      </c>
      <c r="G362" t="inlineStr">
        <is>
          <t>ÖSTRA GÖINGE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46030</v>
      </c>
      <c r="E363" s="1" t="n">
        <v>46307</v>
      </c>
      <c r="F363" t="inlineStr">
        <is>
          <t>SKÅNE LÄN</t>
        </is>
      </c>
      <c r="G363" t="inlineStr">
        <is>
          <t>ÖSTRA GÖINGE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46307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46307</v>
      </c>
      <c r="F365" t="inlineStr">
        <is>
          <t>SKÅNE LÄN</t>
        </is>
      </c>
      <c r="G365" t="inlineStr">
        <is>
          <t>ÖSTRA GÖINGE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46307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46307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46307</v>
      </c>
      <c r="F368" t="inlineStr">
        <is>
          <t>SKÅNE LÄN</t>
        </is>
      </c>
      <c r="G368" t="inlineStr">
        <is>
          <t>ÖSTRA GÖINGE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46307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46307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46307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45076</v>
      </c>
      <c r="E372" s="1" t="n">
        <v>46307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45320</v>
      </c>
      <c r="E373" s="1" t="n">
        <v>46307</v>
      </c>
      <c r="F373" t="inlineStr">
        <is>
          <t>SKÅNE LÄN</t>
        </is>
      </c>
      <c r="G373" t="inlineStr">
        <is>
          <t>ÖSTRA GÖINGE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46307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46307</v>
      </c>
      <c r="F375" t="inlineStr">
        <is>
          <t>SKÅNE LÄN</t>
        </is>
      </c>
      <c r="G375" t="inlineStr">
        <is>
          <t>ÖSTRA GÖINGE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46307</v>
      </c>
      <c r="F376" t="inlineStr">
        <is>
          <t>SKÅNE LÄN</t>
        </is>
      </c>
      <c r="G376" t="inlineStr">
        <is>
          <t>ÖSTRA GÖINGE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45146</v>
      </c>
      <c r="E377" s="1" t="n">
        <v>46307</v>
      </c>
      <c r="F377" t="inlineStr">
        <is>
          <t>SKÅNE LÄN</t>
        </is>
      </c>
      <c r="G377" t="inlineStr">
        <is>
          <t>ÖSTRA GÖINGE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45029</v>
      </c>
      <c r="E378" s="1" t="n">
        <v>46307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46307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46307</v>
      </c>
      <c r="F380" t="inlineStr">
        <is>
          <t>SKÅNE LÄN</t>
        </is>
      </c>
      <c r="G380" t="inlineStr">
        <is>
          <t>ÖSTRA GÖINGE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46307</v>
      </c>
      <c r="F381" t="inlineStr">
        <is>
          <t>SKÅNE LÄN</t>
        </is>
      </c>
      <c r="G381" t="inlineStr">
        <is>
          <t>ÖSTRA GÖINGE</t>
        </is>
      </c>
      <c r="H381" t="inlineStr">
        <is>
          <t>Sveaskog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46307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46307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46307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46307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46307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46307</v>
      </c>
      <c r="F387" t="inlineStr">
        <is>
          <t>SKÅNE LÄN</t>
        </is>
      </c>
      <c r="G387" t="inlineStr">
        <is>
          <t>ÖSTRA GÖINGE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46307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7057-2026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46057</v>
      </c>
      <c r="E389" s="1" t="n">
        <v>46307</v>
      </c>
      <c r="F389" t="inlineStr">
        <is>
          <t>SKÅNE LÄN</t>
        </is>
      </c>
      <c r="G389" t="inlineStr">
        <is>
          <t>ÖSTRA GÖINGE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46307</v>
      </c>
      <c r="F390" t="inlineStr">
        <is>
          <t>SKÅNE LÄN</t>
        </is>
      </c>
      <c r="G390" t="inlineStr">
        <is>
          <t>ÖSTRA GÖINGE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21260-2026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46147</v>
      </c>
      <c r="E391" s="1" t="n">
        <v>46307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46069</v>
      </c>
      <c r="E392" s="1" t="n">
        <v>46307</v>
      </c>
      <c r="F392" t="inlineStr">
        <is>
          <t>SKÅNE LÄN</t>
        </is>
      </c>
      <c r="G392" t="inlineStr">
        <is>
          <t>ÖSTRA GÖINGE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45246</v>
      </c>
      <c r="E393" s="1" t="n">
        <v>46307</v>
      </c>
      <c r="F393" t="inlineStr">
        <is>
          <t>SKÅNE LÄN</t>
        </is>
      </c>
      <c r="G393" t="inlineStr">
        <is>
          <t>ÖSTRA GÖINGE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22327-2026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46307</v>
      </c>
      <c r="F394" t="inlineStr">
        <is>
          <t>SKÅNE LÄN</t>
        </is>
      </c>
      <c r="G394" t="inlineStr">
        <is>
          <t>ÖSTRA GÖINGE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45856</v>
      </c>
      <c r="E395" s="1" t="n">
        <v>46307</v>
      </c>
      <c r="F395" t="inlineStr">
        <is>
          <t>SKÅNE LÄN</t>
        </is>
      </c>
      <c r="G395" t="inlineStr">
        <is>
          <t>ÖSTRA GÖINGE</t>
        </is>
      </c>
      <c r="I395" t="n">
        <v>11.9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46307</v>
      </c>
      <c r="F396" t="inlineStr">
        <is>
          <t>SKÅNE LÄN</t>
        </is>
      </c>
      <c r="G396" t="inlineStr">
        <is>
          <t>ÖSTRA GÖINGE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46307</v>
      </c>
      <c r="F397" t="inlineStr">
        <is>
          <t>SKÅNE LÄN</t>
        </is>
      </c>
      <c r="G397" t="inlineStr">
        <is>
          <t>ÖSTRA GÖINGE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46307</v>
      </c>
      <c r="F398" t="inlineStr">
        <is>
          <t>SKÅNE LÄN</t>
        </is>
      </c>
      <c r="G398" t="inlineStr">
        <is>
          <t>ÖSTRA GÖINGE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46307</v>
      </c>
      <c r="F399" t="inlineStr">
        <is>
          <t>SKÅNE LÄN</t>
        </is>
      </c>
      <c r="G399" t="inlineStr">
        <is>
          <t>ÖSTRA GÖINGE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46307</v>
      </c>
      <c r="F400" t="inlineStr">
        <is>
          <t>SKÅNE LÄN</t>
        </is>
      </c>
      <c r="G400" t="inlineStr">
        <is>
          <t>ÖSTRA GÖINGE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46307</v>
      </c>
      <c r="F401" t="inlineStr">
        <is>
          <t>SKÅNE LÄN</t>
        </is>
      </c>
      <c r="G401" t="inlineStr">
        <is>
          <t>ÖSTRA GÖINGE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45807</v>
      </c>
      <c r="E402" s="1" t="n">
        <v>46307</v>
      </c>
      <c r="F402" t="inlineStr">
        <is>
          <t>SKÅNE LÄN</t>
        </is>
      </c>
      <c r="G402" t="inlineStr">
        <is>
          <t>ÖSTRA GÖINGE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46307</v>
      </c>
      <c r="F403" t="inlineStr">
        <is>
          <t>SKÅNE LÄN</t>
        </is>
      </c>
      <c r="G403" t="inlineStr">
        <is>
          <t>ÖSTRA GÖINGE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45733</v>
      </c>
      <c r="E404" s="1" t="n">
        <v>46307</v>
      </c>
      <c r="F404" t="inlineStr">
        <is>
          <t>SKÅNE LÄN</t>
        </is>
      </c>
      <c r="G404" t="inlineStr">
        <is>
          <t>ÖSTRA GÖINGE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46307</v>
      </c>
      <c r="F405" t="inlineStr">
        <is>
          <t>SKÅNE LÄN</t>
        </is>
      </c>
      <c r="G405" t="inlineStr">
        <is>
          <t>ÖSTRA GÖINGE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46307</v>
      </c>
      <c r="F406" t="inlineStr">
        <is>
          <t>SKÅNE LÄN</t>
        </is>
      </c>
      <c r="G406" t="inlineStr">
        <is>
          <t>ÖSTRA GÖINGE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46307</v>
      </c>
      <c r="F407" t="inlineStr">
        <is>
          <t>SKÅNE LÄN</t>
        </is>
      </c>
      <c r="G407" t="inlineStr">
        <is>
          <t>ÖSTRA GÖINGE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46307</v>
      </c>
      <c r="F408" t="inlineStr">
        <is>
          <t>SKÅNE LÄN</t>
        </is>
      </c>
      <c r="G408" t="inlineStr">
        <is>
          <t>ÖSTRA GÖINGE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46307</v>
      </c>
      <c r="F409" t="inlineStr">
        <is>
          <t>SKÅNE LÄN</t>
        </is>
      </c>
      <c r="G409" t="inlineStr">
        <is>
          <t>ÖSTRA GÖINGE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46307</v>
      </c>
      <c r="F410" t="inlineStr">
        <is>
          <t>SKÅNE LÄN</t>
        </is>
      </c>
      <c r="G410" t="inlineStr">
        <is>
          <t>ÖSTRA GÖINGE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25389-2026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46307</v>
      </c>
      <c r="F411" t="inlineStr">
        <is>
          <t>SKÅNE LÄN</t>
        </is>
      </c>
      <c r="G411" t="inlineStr">
        <is>
          <t>ÖSTRA GÖINGE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46307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46307</v>
      </c>
      <c r="F413" t="inlineStr">
        <is>
          <t>SKÅNE LÄN</t>
        </is>
      </c>
      <c r="G413" t="inlineStr">
        <is>
          <t>ÖSTRA GÖINGE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46307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46307</v>
      </c>
      <c r="F415" t="inlineStr">
        <is>
          <t>SKÅNE LÄN</t>
        </is>
      </c>
      <c r="G415" t="inlineStr">
        <is>
          <t>ÖSTRA GÖINGE</t>
        </is>
      </c>
      <c r="I415" t="n">
        <v>34.5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46307</v>
      </c>
      <c r="F416" t="inlineStr">
        <is>
          <t>SKÅNE LÄN</t>
        </is>
      </c>
      <c r="G416" t="inlineStr">
        <is>
          <t>ÖSTRA GÖINGE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46307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46307</v>
      </c>
      <c r="F418" t="inlineStr">
        <is>
          <t>SKÅNE LÄN</t>
        </is>
      </c>
      <c r="G418" t="inlineStr">
        <is>
          <t>ÖSTRA GÖINGE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46307</v>
      </c>
      <c r="F419" t="inlineStr">
        <is>
          <t>SKÅNE LÄN</t>
        </is>
      </c>
      <c r="G419" t="inlineStr">
        <is>
          <t>ÖSTRA GÖINGE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46307</v>
      </c>
      <c r="F420" t="inlineStr">
        <is>
          <t>SKÅNE LÄN</t>
        </is>
      </c>
      <c r="G420" t="inlineStr">
        <is>
          <t>ÖSTRA GÖINGE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46307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30111-2026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46206</v>
      </c>
      <c r="E422" s="1" t="n">
        <v>46307</v>
      </c>
      <c r="F422" t="inlineStr">
        <is>
          <t>SKÅNE LÄN</t>
        </is>
      </c>
      <c r="G422" t="inlineStr">
        <is>
          <t>ÖSTRA GÖINGE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46307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46307</v>
      </c>
      <c r="F424" t="inlineStr">
        <is>
          <t>SKÅNE LÄN</t>
        </is>
      </c>
      <c r="G424" t="inlineStr">
        <is>
          <t>ÖSTRA GÖINGE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46274</v>
      </c>
      <c r="E425" s="1" t="n">
        <v>46307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46275</v>
      </c>
      <c r="E426" s="1" t="n">
        <v>46307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46275</v>
      </c>
      <c r="E427" s="1" t="n">
        <v>46307</v>
      </c>
      <c r="F427" t="inlineStr">
        <is>
          <t>SKÅNE LÄN</t>
        </is>
      </c>
      <c r="G427" t="inlineStr">
        <is>
          <t>ÖSTRA GÖINGE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46241</v>
      </c>
      <c r="E428" s="1" t="n">
        <v>46307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46307</v>
      </c>
      <c r="F429" t="inlineStr">
        <is>
          <t>SKÅNE LÄN</t>
        </is>
      </c>
      <c r="G429" t="inlineStr">
        <is>
          <t>ÖSTRA GÖINGE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46307</v>
      </c>
      <c r="F430" t="inlineStr">
        <is>
          <t>SKÅNE LÄN</t>
        </is>
      </c>
      <c r="G430" t="inlineStr">
        <is>
          <t>ÖSTRA GÖINGE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46307</v>
      </c>
      <c r="F431" t="inlineStr">
        <is>
          <t>SKÅNE LÄN</t>
        </is>
      </c>
      <c r="G431" t="inlineStr">
        <is>
          <t>ÖSTRA GÖINGE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46289</v>
      </c>
      <c r="E432" s="1" t="n">
        <v>46307</v>
      </c>
      <c r="F432" t="inlineStr">
        <is>
          <t>SKÅNE LÄN</t>
        </is>
      </c>
      <c r="G432" t="inlineStr">
        <is>
          <t>ÖSTRA GÖINGE</t>
        </is>
      </c>
      <c r="H432" t="inlineStr">
        <is>
          <t>Sveaskog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46294</v>
      </c>
      <c r="E433" s="1" t="n">
        <v>46307</v>
      </c>
      <c r="F433" t="inlineStr">
        <is>
          <t>SKÅNE LÄN</t>
        </is>
      </c>
      <c r="G433" t="inlineStr">
        <is>
          <t>ÖSTRA GÖINGE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46248</v>
      </c>
      <c r="E434" s="1" t="n">
        <v>46307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46299</v>
      </c>
      <c r="E435" s="1" t="n">
        <v>46307</v>
      </c>
      <c r="F435" t="inlineStr">
        <is>
          <t>SKÅNE LÄN</t>
        </is>
      </c>
      <c r="G435" t="inlineStr">
        <is>
          <t>ÖSTRA GÖINGE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46297</v>
      </c>
      <c r="E436" s="1" t="n">
        <v>46307</v>
      </c>
      <c r="F436" t="inlineStr">
        <is>
          <t>SKÅNE LÄN</t>
        </is>
      </c>
      <c r="G436" t="inlineStr">
        <is>
          <t>ÖSTRA GÖINGE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46307</v>
      </c>
      <c r="F437" t="inlineStr">
        <is>
          <t>SKÅNE LÄN</t>
        </is>
      </c>
      <c r="G437" t="inlineStr">
        <is>
          <t>ÖSTRA GÖINGE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46307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37144-2026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46274</v>
      </c>
      <c r="E439" s="1" t="n">
        <v>46307</v>
      </c>
      <c r="F439" t="inlineStr">
        <is>
          <t>SKÅNE LÄN</t>
        </is>
      </c>
      <c r="G439" t="inlineStr">
        <is>
          <t>ÖSTRA GÖINGE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46307</v>
      </c>
      <c r="F440" t="inlineStr">
        <is>
          <t>SKÅNE LÄN</t>
        </is>
      </c>
      <c r="G440" t="inlineStr">
        <is>
          <t>ÖSTRA GÖINGE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46307</v>
      </c>
      <c r="F441" t="inlineStr">
        <is>
          <t>SKÅNE LÄN</t>
        </is>
      </c>
      <c r="G441" t="inlineStr">
        <is>
          <t>ÖSTRA GÖINGE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46304</v>
      </c>
      <c r="E442" s="1" t="n">
        <v>46307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34840-2026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46258</v>
      </c>
      <c r="E443" s="1" t="n">
        <v>46307</v>
      </c>
      <c r="F443" t="inlineStr">
        <is>
          <t>SKÅNE LÄN</t>
        </is>
      </c>
      <c r="G443" t="inlineStr">
        <is>
          <t>ÖSTRA GÖINGE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2639-2022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44700</v>
      </c>
      <c r="E444" s="1" t="n">
        <v>46307</v>
      </c>
      <c r="F444" t="inlineStr">
        <is>
          <t>SKÅNE LÄN</t>
        </is>
      </c>
      <c r="G444" t="inlineStr">
        <is>
          <t>ÖSTRA GÖINGE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1043-2022</t>
        </is>
      </c>
      <c r="B445" t="inlineStr">
        <is>
          <t>samrådsanmälan</t>
        </is>
      </c>
      <c r="C445" t="inlineStr">
        <is>
          <t>Åtgärd i nyckelbiotop</t>
        </is>
      </c>
      <c r="D445" s="1" t="n">
        <v>44613</v>
      </c>
      <c r="E445" s="1" t="n">
        <v>46307</v>
      </c>
      <c r="F445" t="inlineStr">
        <is>
          <t>SKÅNE LÄN</t>
        </is>
      </c>
      <c r="G445" t="inlineStr">
        <is>
          <t>ÖSTRA GÖINGE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2600-2022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44698</v>
      </c>
      <c r="E446" s="1" t="n">
        <v>46307</v>
      </c>
      <c r="F446" t="inlineStr">
        <is>
          <t>SKÅNE LÄN</t>
        </is>
      </c>
      <c r="G446" t="inlineStr">
        <is>
          <t>ÖSTRA GÖINGE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2602-2022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46307</v>
      </c>
      <c r="F447" t="inlineStr">
        <is>
          <t>SKÅNE LÄN</t>
        </is>
      </c>
      <c r="G447" t="inlineStr">
        <is>
          <t>ÖSTRA GÖINGE</t>
        </is>
      </c>
      <c r="I447" t="n">
        <v>18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2143-2022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44676</v>
      </c>
      <c r="E448" s="1" t="n">
        <v>46307</v>
      </c>
      <c r="F448" t="inlineStr">
        <is>
          <t>SKÅNE LÄN</t>
        </is>
      </c>
      <c r="G448" t="inlineStr">
        <is>
          <t>ÖSTRA GÖINGE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444-2022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44586</v>
      </c>
      <c r="E449" s="1" t="n">
        <v>46307</v>
      </c>
      <c r="F449" t="inlineStr">
        <is>
          <t>SKÅNE LÄN</t>
        </is>
      </c>
      <c r="G449" t="inlineStr">
        <is>
          <t>ÖSTRA GÖINGE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450-2022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46307</v>
      </c>
      <c r="F450" t="inlineStr">
        <is>
          <t>SKÅNE LÄN</t>
        </is>
      </c>
      <c r="G450" t="inlineStr">
        <is>
          <t>ÖSTRA GÖINGE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90-2024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45301</v>
      </c>
      <c r="E451" s="1" t="n">
        <v>46307</v>
      </c>
      <c r="F451" t="inlineStr">
        <is>
          <t>SKÅNE LÄN</t>
        </is>
      </c>
      <c r="G451" t="inlineStr">
        <is>
          <t>ÖSTRA GÖINGE</t>
        </is>
      </c>
      <c r="I451" t="n">
        <v>53.6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2502-2023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45124</v>
      </c>
      <c r="E452" s="1" t="n">
        <v>46307</v>
      </c>
      <c r="F452" t="inlineStr">
        <is>
          <t>SKÅNE LÄN</t>
        </is>
      </c>
      <c r="G452" t="inlineStr">
        <is>
          <t>ÖSTRA GÖINGE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46307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46307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46307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46307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46307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46307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46307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46307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46307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46307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46307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46307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46307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46307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46307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46307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46307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46307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46307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46307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46307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46307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46307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46307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46307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46307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46307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46307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46307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46307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46307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46307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2026-10-12T02:02:36Z</dcterms:created>
  <dcterms:modified xmlns:dcterms="http://purl.org/dc/terms/" xmlns:xsi="http://www.w3.org/2001/XMLSchema-instance" xsi:type="dcterms:W3CDTF">2026-10-12T02:02:36Z</dcterms:modified>
</cp:coreProperties>
</file>