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46318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46318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46318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46318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46318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46318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46318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46318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46318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6314-2023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46318</v>
      </c>
      <c r="F20" t="inlineStr">
        <is>
          <t>SKÅNE LÄN</t>
        </is>
      </c>
      <c r="G20" t="inlineStr">
        <is>
          <t>ÖSTRA GÖINGE</t>
        </is>
      </c>
      <c r="I20" t="n">
        <v>2.1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Svartvit flugsnappare</t>
        </is>
      </c>
      <c r="W20">
        <f>HYPERLINK("https://klasma.github.io/Logging_1256/artfynd/A 6314-2023 artfynd.xlsx", "A 6314-2023")</f>
        <v/>
      </c>
      <c r="X20">
        <f>HYPERLINK("https://klasma.github.io/Logging_1256/kartor/A 6314-2023 karta.png", "A 6314-2023")</f>
        <v/>
      </c>
      <c r="Y20">
        <f>HYPERLINK("https://klasma.github.io/Logging_1256/kartor_geotiff/A 6314-2023 georefererad karta.tif", "A 6314-2023")</f>
        <v/>
      </c>
      <c r="AA20">
        <f>HYPERLINK("https://klasma.github.io/Logging_1256/klagomål/A 6314-2023 FSC-klagomål.docx", "A 6314-2023")</f>
        <v/>
      </c>
      <c r="AB20">
        <f>HYPERLINK("https://klasma.github.io/Logging_1256/klagomålsmail/A 6314-2023 FSC-klagomål mail.docx", "A 6314-2023")</f>
        <v/>
      </c>
      <c r="AC20">
        <f>HYPERLINK("https://klasma.github.io/Logging_1256/tillsyn/A 6314-2023 tillsynsbegäran.docx", "A 6314-2023")</f>
        <v/>
      </c>
      <c r="AD20">
        <f>HYPERLINK("https://klasma.github.io/Logging_1256/tillsynsmail/A 6314-2023 tillsynsbegäran mail.docx", "A 6314-2023")</f>
        <v/>
      </c>
    </row>
    <row r="21" ht="15" customHeight="1">
      <c r="A21" t="inlineStr">
        <is>
          <t>A 23405-2023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46318</v>
      </c>
      <c r="F21" t="inlineStr">
        <is>
          <t>SKÅNE LÄN</t>
        </is>
      </c>
      <c r="G21" t="inlineStr">
        <is>
          <t>ÖSTRA GÖINGE</t>
        </is>
      </c>
      <c r="I21" t="n">
        <v>2.2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Vanlig padda</t>
        </is>
      </c>
      <c r="W21">
        <f>HYPERLINK("https://klasma.github.io/Logging_1256/artfynd/A 23405-2023 artfynd.xlsx", "A 23405-2023")</f>
        <v/>
      </c>
      <c r="X21">
        <f>HYPERLINK("https://klasma.github.io/Logging_1256/kartor/A 23405-2023 karta.png", "A 23405-2023")</f>
        <v/>
      </c>
      <c r="Y21">
        <f>HYPERLINK("https://klasma.github.io/Logging_1256/kartor_geotiff/A 23405-2023 georefererad karta.tif", "A 23405-2023")</f>
        <v/>
      </c>
      <c r="AA21">
        <f>HYPERLINK("https://klasma.github.io/Logging_1256/klagomål/A 23405-2023 FSC-klagomål.docx", "A 23405-2023")</f>
        <v/>
      </c>
      <c r="AB21">
        <f>HYPERLINK("https://klasma.github.io/Logging_1256/klagomålsmail/A 23405-2023 FSC-klagomål mail.docx", "A 23405-2023")</f>
        <v/>
      </c>
      <c r="AC21">
        <f>HYPERLINK("https://klasma.github.io/Logging_1256/tillsyn/A 23405-2023 tillsynsbegäran.docx", "A 23405-2023")</f>
        <v/>
      </c>
      <c r="AD21">
        <f>HYPERLINK("https://klasma.github.io/Logging_1256/tillsynsmail/A 23405-2023 tillsynsbegäran mail.docx", "A 23405-2023")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46318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46318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37585-2024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45541</v>
      </c>
      <c r="E24" s="1" t="n">
        <v>46318</v>
      </c>
      <c r="F24" t="inlineStr">
        <is>
          <t>SKÅNE LÄN</t>
        </is>
      </c>
      <c r="G24" t="inlineStr">
        <is>
          <t>ÖSTRA GÖINGE</t>
        </is>
      </c>
      <c r="I24" t="n">
        <v>22.7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Gullklöver
Fläcknycklar</t>
        </is>
      </c>
      <c r="W24">
        <f>HYPERLINK("https://klasma.github.io/Logging_1256/artfynd/A 37585-2024 artfynd.xlsx", "A 37585-2024")</f>
        <v/>
      </c>
      <c r="X24">
        <f>HYPERLINK("https://klasma.github.io/Logging_1256/kartor/A 37585-2024 karta.png", "A 37585-2024")</f>
        <v/>
      </c>
      <c r="Y24">
        <f>HYPERLINK("https://klasma.github.io/Logging_1256/kartor_geotiff/A 37585-2024 georefererad karta.tif", "A 37585-2024")</f>
        <v/>
      </c>
      <c r="AA24">
        <f>HYPERLINK("https://klasma.github.io/Logging_1256/klagomål/A 37585-2024 FSC-klagomål.docx", "A 37585-2024")</f>
        <v/>
      </c>
      <c r="AB24">
        <f>HYPERLINK("https://klasma.github.io/Logging_1256/klagomålsmail/A 37585-2024 FSC-klagomål mail.docx", "A 37585-2024")</f>
        <v/>
      </c>
      <c r="AC24">
        <f>HYPERLINK("https://klasma.github.io/Logging_1256/tillsyn/A 37585-2024 tillsynsbegäran.docx", "A 37585-2024")</f>
        <v/>
      </c>
      <c r="AD24">
        <f>HYPERLINK("https://klasma.github.io/Logging_1256/tillsynsmail/A 37585-2024 tillsynsbegäran mail.docx", "A 37585-2024")</f>
        <v/>
      </c>
    </row>
    <row r="25" ht="15" customHeight="1">
      <c r="A25" t="inlineStr">
        <is>
          <t>A 34389-2024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45525</v>
      </c>
      <c r="E25" s="1" t="n">
        <v>46318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Pulverädellav
Havstulpanlav</t>
        </is>
      </c>
      <c r="W25">
        <f>HYPERLINK("https://klasma.github.io/Logging_1256/artfynd/A 34389-2024 artfynd.xlsx", "A 34389-2024")</f>
        <v/>
      </c>
      <c r="X25">
        <f>HYPERLINK("https://klasma.github.io/Logging_1256/kartor/A 34389-2024 karta.png", "A 34389-2024")</f>
        <v/>
      </c>
      <c r="Y25">
        <f>HYPERLINK("https://klasma.github.io/Logging_1256/kartor_geotiff/A 34389-2024 georefererad karta.tif", "A 34389-2024")</f>
        <v/>
      </c>
      <c r="AA25">
        <f>HYPERLINK("https://klasma.github.io/Logging_1256/klagomål/A 34389-2024 FSC-klagomål.docx", "A 34389-2024")</f>
        <v/>
      </c>
      <c r="AB25">
        <f>HYPERLINK("https://klasma.github.io/Logging_1256/klagomålsmail/A 34389-2024 FSC-klagomål mail.docx", "A 34389-2024")</f>
        <v/>
      </c>
      <c r="AC25">
        <f>HYPERLINK("https://klasma.github.io/Logging_1256/tillsyn/A 34389-2024 tillsynsbegäran.docx", "A 34389-2024")</f>
        <v/>
      </c>
      <c r="AD25">
        <f>HYPERLINK("https://klasma.github.io/Logging_1256/tillsynsmail/A 34389-2024 tillsynsbegäran mail.docx", "A 34389-2024")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46318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32367-2024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45512</v>
      </c>
      <c r="E27" s="1" t="n">
        <v>46318</v>
      </c>
      <c r="F27" t="inlineStr">
        <is>
          <t>SKÅNE LÄN</t>
        </is>
      </c>
      <c r="G27" t="inlineStr">
        <is>
          <t>ÖSTRA GÖINGE</t>
        </is>
      </c>
      <c r="I27" t="n">
        <v>5.4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Västlig hakmossa</t>
        </is>
      </c>
      <c r="W27">
        <f>HYPERLINK("https://klasma.github.io/Logging_1256/artfynd/A 32367-2024 artfynd.xlsx", "A 32367-2024")</f>
        <v/>
      </c>
      <c r="X27">
        <f>HYPERLINK("https://klasma.github.io/Logging_1256/kartor/A 32367-2024 karta.png", "A 32367-2024")</f>
        <v/>
      </c>
      <c r="Y27">
        <f>HYPERLINK("https://klasma.github.io/Logging_1256/kartor_geotiff/A 32367-2024 georefererad karta.tif", "A 32367-2024")</f>
        <v/>
      </c>
      <c r="AA27">
        <f>HYPERLINK("https://klasma.github.io/Logging_1256/klagomål/A 32367-2024 FSC-klagomål.docx", "A 32367-2024")</f>
        <v/>
      </c>
      <c r="AB27">
        <f>HYPERLINK("https://klasma.github.io/Logging_1256/klagomålsmail/A 32367-2024 FSC-klagomål mail.docx", "A 32367-2024")</f>
        <v/>
      </c>
      <c r="AC27">
        <f>HYPERLINK("https://klasma.github.io/Logging_1256/tillsyn/A 32367-2024 tillsynsbegäran.docx", "A 32367-2024")</f>
        <v/>
      </c>
      <c r="AD27">
        <f>HYPERLINK("https://klasma.github.io/Logging_1256/tillsynsmail/A 32367-2024 tillsynsbegäran mail.docx", "A 32367-2024")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46318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56102-2022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44889</v>
      </c>
      <c r="E29" s="1" t="n">
        <v>46318</v>
      </c>
      <c r="F29" t="inlineStr">
        <is>
          <t>SKÅNE LÄN</t>
        </is>
      </c>
      <c r="G29" t="inlineStr">
        <is>
          <t>ÖSTRA GÖINGE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56102-2022 artfynd.xlsx", "A 56102-2022")</f>
        <v/>
      </c>
      <c r="X29">
        <f>HYPERLINK("https://klasma.github.io/Logging_1256/kartor/A 56102-2022 karta.png", "A 56102-2022")</f>
        <v/>
      </c>
      <c r="Y29">
        <f>HYPERLINK("https://klasma.github.io/Logging_1256/kartor_geotiff/A 56102-2022 georefererad karta.tif", "A 56102-2022")</f>
        <v/>
      </c>
      <c r="AA29">
        <f>HYPERLINK("https://klasma.github.io/Logging_1256/klagomål/A 56102-2022 FSC-klagomål.docx", "A 56102-2022")</f>
        <v/>
      </c>
      <c r="AB29">
        <f>HYPERLINK("https://klasma.github.io/Logging_1256/klagomålsmail/A 56102-2022 FSC-klagomål mail.docx", "A 56102-2022")</f>
        <v/>
      </c>
      <c r="AC29">
        <f>HYPERLINK("https://klasma.github.io/Logging_1256/tillsyn/A 56102-2022 tillsynsbegäran.docx", "A 56102-2022")</f>
        <v/>
      </c>
      <c r="AD29">
        <f>HYPERLINK("https://klasma.github.io/Logging_1256/tillsynsmail/A 56102-2022 tillsynsbegäran mail.docx", "A 56102-2022")</f>
        <v/>
      </c>
      <c r="AE29">
        <f>HYPERLINK("https://klasma.github.io/Logging_1256/fåglar/A 56102-2022 prioriterade fågelarter.docx", "A 56102-2022")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2063-2022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44575</v>
      </c>
      <c r="E34" s="1" t="n">
        <v>46318</v>
      </c>
      <c r="F34" t="inlineStr">
        <is>
          <t>SKÅNE LÄN</t>
        </is>
      </c>
      <c r="G34" t="inlineStr">
        <is>
          <t>ÖSTRA GÖINGE</t>
        </is>
      </c>
      <c r="I34" t="n">
        <v>1.5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Safsa</t>
        </is>
      </c>
      <c r="W34">
        <f>HYPERLINK("https://klasma.github.io/Logging_1256/artfynd/A 2063-2022 artfynd.xlsx", "A 2063-2022")</f>
        <v/>
      </c>
      <c r="X34">
        <f>HYPERLINK("https://klasma.github.io/Logging_1256/kartor/A 2063-2022 karta.png", "A 2063-2022")</f>
        <v/>
      </c>
      <c r="Y34">
        <f>HYPERLINK("https://klasma.github.io/Logging_1256/kartor_geotiff/A 2063-2022 georefererad karta.tif", "A 2063-2022")</f>
        <v/>
      </c>
      <c r="AA34">
        <f>HYPERLINK("https://klasma.github.io/Logging_1256/klagomål/A 2063-2022 FSC-klagomål.docx", "A 2063-2022")</f>
        <v/>
      </c>
      <c r="AB34">
        <f>HYPERLINK("https://klasma.github.io/Logging_1256/klagomålsmail/A 2063-2022 FSC-klagomål mail.docx", "A 2063-2022")</f>
        <v/>
      </c>
      <c r="AC34">
        <f>HYPERLINK("https://klasma.github.io/Logging_1256/tillsyn/A 2063-2022 tillsynsbegäran.docx", "A 2063-2022")</f>
        <v/>
      </c>
      <c r="AD34">
        <f>HYPERLINK("https://klasma.github.io/Logging_1256/tillsynsmail/A 2063-2022 tillsynsbegäran mail.docx", "A 2063-2022")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46318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4892-2023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44958</v>
      </c>
      <c r="E36" s="1" t="n">
        <v>46318</v>
      </c>
      <c r="F36" t="inlineStr">
        <is>
          <t>SKÅNE LÄN</t>
        </is>
      </c>
      <c r="G36" t="inlineStr">
        <is>
          <t>ÖSTRA GÖINGE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HYPERLINK("https://klasma.github.io/Logging_1256/artfynd/A 4892-2023 artfynd.xlsx", "A 4892-2023")</f>
        <v/>
      </c>
      <c r="X36">
        <f>HYPERLINK("https://klasma.github.io/Logging_1256/kartor/A 4892-2023 karta.png", "A 4892-2023")</f>
        <v/>
      </c>
      <c r="Y36">
        <f>HYPERLINK("https://klasma.github.io/Logging_1256/kartor_geotiff/A 4892-2023 georefererad karta.tif", "A 4892-2023")</f>
        <v/>
      </c>
      <c r="AA36">
        <f>HYPERLINK("https://klasma.github.io/Logging_1256/klagomål/A 4892-2023 FSC-klagomål.docx", "A 4892-2023")</f>
        <v/>
      </c>
      <c r="AB36">
        <f>HYPERLINK("https://klasma.github.io/Logging_1256/klagomålsmail/A 4892-2023 FSC-klagomål mail.docx", "A 4892-2023")</f>
        <v/>
      </c>
      <c r="AC36">
        <f>HYPERLINK("https://klasma.github.io/Logging_1256/tillsyn/A 4892-2023 tillsynsbegäran.docx", "A 4892-2023")</f>
        <v/>
      </c>
      <c r="AD36">
        <f>HYPERLINK("https://klasma.github.io/Logging_1256/tillsynsmail/A 4892-2023 tillsynsbegäran mail.docx", "A 4892-2023")</f>
        <v/>
      </c>
      <c r="AE36">
        <f>HYPERLINK("https://klasma.github.io/Logging_1256/fåglar/A 4892-2023 prioriterade fågelarter.docx", "A 4892-2023")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46318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2695-2022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46318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HYPERLINK("https://klasma.github.io/Logging_1256/artfynd/A 2695-2022 artfynd.xlsx", "A 2695-2022")</f>
        <v/>
      </c>
      <c r="X38">
        <f>HYPERLINK("https://klasma.github.io/Logging_1256/kartor/A 2695-2022 karta.png", "A 2695-2022")</f>
        <v/>
      </c>
      <c r="Y38">
        <f>HYPERLINK("https://klasma.github.io/Logging_1256/kartor_geotiff/A 2695-2022 georefererad karta.tif", "A 2695-2022")</f>
        <v/>
      </c>
      <c r="AA38">
        <f>HYPERLINK("https://klasma.github.io/Logging_1256/klagomål/A 2695-2022 FSC-klagomål.docx", "A 2695-2022")</f>
        <v/>
      </c>
      <c r="AB38">
        <f>HYPERLINK("https://klasma.github.io/Logging_1256/klagomålsmail/A 2695-2022 FSC-klagomål mail.docx", "A 2695-2022")</f>
        <v/>
      </c>
      <c r="AC38">
        <f>HYPERLINK("https://klasma.github.io/Logging_1256/tillsyn/A 2695-2022 tillsynsbegäran.docx", "A 2695-2022")</f>
        <v/>
      </c>
      <c r="AD38">
        <f>HYPERLINK("https://klasma.github.io/Logging_1256/tillsynsmail/A 2695-2022 tillsynsbegäran mail.docx", "A 2695-2022")</f>
        <v/>
      </c>
      <c r="AE38">
        <f>HYPERLINK("https://klasma.github.io/Logging_1256/fåglar/A 2695-2022 prioriterade fågelarter.docx", "A 2695-2022")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46318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38965-2025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46318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HYPERLINK("https://klasma.github.io/Logging_1256/artfynd/A 38965-2025 artfynd.xlsx", "A 38965-2025")</f>
        <v/>
      </c>
      <c r="X40">
        <f>HYPERLINK("https://klasma.github.io/Logging_1256/kartor/A 38965-2025 karta.png", "A 38965-2025")</f>
        <v/>
      </c>
      <c r="Y40">
        <f>HYPERLINK("https://klasma.github.io/Logging_1256/kartor_geotiff/A 38965-2025 georefererad karta.tif", "A 38965-2025")</f>
        <v/>
      </c>
      <c r="AA40">
        <f>HYPERLINK("https://klasma.github.io/Logging_1256/klagomål/A 38965-2025 FSC-klagomål.docx", "A 38965-2025")</f>
        <v/>
      </c>
      <c r="AB40">
        <f>HYPERLINK("https://klasma.github.io/Logging_1256/klagomålsmail/A 38965-2025 FSC-klagomål mail.docx", "A 38965-2025")</f>
        <v/>
      </c>
      <c r="AC40">
        <f>HYPERLINK("https://klasma.github.io/Logging_1256/tillsyn/A 38965-2025 tillsynsbegäran.docx", "A 38965-2025")</f>
        <v/>
      </c>
      <c r="AD40">
        <f>HYPERLINK("https://klasma.github.io/Logging_1256/tillsynsmail/A 38965-2025 tillsynsbegäran mail.docx", "A 38965-2025")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46318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46318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46318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46318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23400-2023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45076</v>
      </c>
      <c r="E45" s="1" t="n">
        <v>46318</v>
      </c>
      <c r="F45" t="inlineStr">
        <is>
          <t>SKÅNE LÄN</t>
        </is>
      </c>
      <c r="G45" t="inlineStr">
        <is>
          <t>ÖSTRA GÖINGE</t>
        </is>
      </c>
      <c r="I45" t="n">
        <v>5.1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HYPERLINK("https://klasma.github.io/Logging_1256/artfynd/A 23400-2023 artfynd.xlsx", "A 23400-2023")</f>
        <v/>
      </c>
      <c r="X45">
        <f>HYPERLINK("https://klasma.github.io/Logging_1256/kartor/A 23400-2023 karta.png", "A 23400-2023")</f>
        <v/>
      </c>
      <c r="Y45">
        <f>HYPERLINK("https://klasma.github.io/Logging_1256/kartor_geotiff/A 23400-2023 georefererad karta.tif", "A 23400-2023")</f>
        <v/>
      </c>
      <c r="AA45">
        <f>HYPERLINK("https://klasma.github.io/Logging_1256/klagomål/A 23400-2023 FSC-klagomål.docx", "A 23400-2023")</f>
        <v/>
      </c>
      <c r="AB45">
        <f>HYPERLINK("https://klasma.github.io/Logging_1256/klagomålsmail/A 23400-2023 FSC-klagomål mail.docx", "A 23400-2023")</f>
        <v/>
      </c>
      <c r="AC45">
        <f>HYPERLINK("https://klasma.github.io/Logging_1256/tillsyn/A 23400-2023 tillsynsbegäran.docx", "A 23400-2023")</f>
        <v/>
      </c>
      <c r="AD45">
        <f>HYPERLINK("https://klasma.github.io/Logging_1256/tillsynsmail/A 23400-2023 tillsynsbegäran mail.docx", "A 23400-2023")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46318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46318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46318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5468-2024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45332</v>
      </c>
      <c r="E49" s="1" t="n">
        <v>46318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5468-2024 artfynd.xlsx", "A 5468-2024")</f>
        <v/>
      </c>
      <c r="X49">
        <f>HYPERLINK("https://klasma.github.io/Logging_1256/kartor/A 5468-2024 karta.png", "A 5468-2024")</f>
        <v/>
      </c>
      <c r="Y49">
        <f>HYPERLINK("https://klasma.github.io/Logging_1256/kartor_geotiff/A 5468-2024 georefererad karta.tif", "A 5468-2024")</f>
        <v/>
      </c>
      <c r="AA49">
        <f>HYPERLINK("https://klasma.github.io/Logging_1256/klagomål/A 5468-2024 FSC-klagomål.docx", "A 5468-2024")</f>
        <v/>
      </c>
      <c r="AB49">
        <f>HYPERLINK("https://klasma.github.io/Logging_1256/klagomålsmail/A 5468-2024 FSC-klagomål mail.docx", "A 5468-2024")</f>
        <v/>
      </c>
      <c r="AC49">
        <f>HYPERLINK("https://klasma.github.io/Logging_1256/tillsyn/A 5468-2024 tillsynsbegäran.docx", "A 5468-2024")</f>
        <v/>
      </c>
      <c r="AD49">
        <f>HYPERLINK("https://klasma.github.io/Logging_1256/tillsynsmail/A 5468-2024 tillsynsbegäran mail.docx", "A 5468-2024")</f>
        <v/>
      </c>
    </row>
    <row r="50" ht="15" customHeight="1">
      <c r="A50" t="inlineStr">
        <is>
          <t>A 4251-2023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46318</v>
      </c>
      <c r="F50" t="inlineStr">
        <is>
          <t>SKÅNE LÄN</t>
        </is>
      </c>
      <c r="G50" t="inlineStr">
        <is>
          <t>ÖSTRA GÖINGE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Ask</t>
        </is>
      </c>
      <c r="W50">
        <f>HYPERLINK("https://klasma.github.io/Logging_1256/artfynd/A 4251-2023 artfynd.xlsx", "A 4251-2023")</f>
        <v/>
      </c>
      <c r="X50">
        <f>HYPERLINK("https://klasma.github.io/Logging_1256/kartor/A 4251-2023 karta.png", "A 4251-2023")</f>
        <v/>
      </c>
      <c r="Y50">
        <f>HYPERLINK("https://klasma.github.io/Logging_1256/kartor_geotiff/A 4251-2023 georefererad karta.tif", "A 4251-2023")</f>
        <v/>
      </c>
      <c r="AA50">
        <f>HYPERLINK("https://klasma.github.io/Logging_1256/klagomål/A 4251-2023 FSC-klagomål.docx", "A 4251-2023")</f>
        <v/>
      </c>
      <c r="AB50">
        <f>HYPERLINK("https://klasma.github.io/Logging_1256/klagomålsmail/A 4251-2023 FSC-klagomål mail.docx", "A 4251-2023")</f>
        <v/>
      </c>
      <c r="AC50">
        <f>HYPERLINK("https://klasma.github.io/Logging_1256/tillsyn/A 4251-2023 tillsynsbegäran.docx", "A 4251-2023")</f>
        <v/>
      </c>
      <c r="AD50">
        <f>HYPERLINK("https://klasma.github.io/Logging_1256/tillsynsmail/A 4251-2023 tillsynsbegäran mail.docx", "A 4251-2023")</f>
        <v/>
      </c>
    </row>
    <row r="51" ht="15" customHeight="1">
      <c r="A51" t="inlineStr">
        <is>
          <t>A 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45327</v>
      </c>
      <c r="E51" s="1" t="n">
        <v>46318</v>
      </c>
      <c r="F51" t="inlineStr">
        <is>
          <t>SKÅNE LÄN</t>
        </is>
      </c>
      <c r="G51" t="inlineStr">
        <is>
          <t>ÖSTRA GÖINGE</t>
        </is>
      </c>
      <c r="I51" t="n">
        <v>2.2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HYPERLINK("https://klasma.github.io/Logging_1256/artfynd/A 4383-2024 artfynd.xlsx", "A 4383-2024")</f>
        <v/>
      </c>
      <c r="X51">
        <f>HYPERLINK("https://klasma.github.io/Logging_1256/kartor/A 4383-2024 karta.png", "A 4383-2024")</f>
        <v/>
      </c>
      <c r="Y51">
        <f>HYPERLINK("https://klasma.github.io/Logging_1256/kartor_geotiff/A 4383-2024 georefererad karta.tif", "A 4383-2024")</f>
        <v/>
      </c>
      <c r="AA51">
        <f>HYPERLINK("https://klasma.github.io/Logging_1256/klagomål/A 4383-2024 FSC-klagomål.docx", "A 4383-2024")</f>
        <v/>
      </c>
      <c r="AB51">
        <f>HYPERLINK("https://klasma.github.io/Logging_1256/klagomålsmail/A 4383-2024 FSC-klagomål mail.docx", "A 4383-2024")</f>
        <v/>
      </c>
      <c r="AC51">
        <f>HYPERLINK("https://klasma.github.io/Logging_1256/tillsyn/A 4383-2024 tillsynsbegäran.docx", "A 4383-2024")</f>
        <v/>
      </c>
      <c r="AD51">
        <f>HYPERLINK("https://klasma.github.io/Logging_1256/tillsynsmail/A 4383-2024 tillsynsbegäran mail.docx", "A 4383-2024")</f>
        <v/>
      </c>
    </row>
    <row r="52" ht="15" customHeight="1">
      <c r="A52" t="inlineStr">
        <is>
          <t>A 16668-2023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46318</v>
      </c>
      <c r="F52" t="inlineStr">
        <is>
          <t>SKÅNE LÄN</t>
        </is>
      </c>
      <c r="G52" t="inlineStr">
        <is>
          <t>ÖSTRA GÖINGE</t>
        </is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Mindre hackspett</t>
        </is>
      </c>
      <c r="W52">
        <f>HYPERLINK("https://klasma.github.io/Logging_1256/artfynd/A 16668-2023 artfynd.xlsx", "A 16668-2023")</f>
        <v/>
      </c>
      <c r="X52">
        <f>HYPERLINK("https://klasma.github.io/Logging_1256/kartor/A 16668-2023 karta.png", "A 16668-2023")</f>
        <v/>
      </c>
      <c r="Y52">
        <f>HYPERLINK("https://klasma.github.io/Logging_1256/kartor_geotiff/A 16668-2023 georefererad karta.tif", "A 16668-2023")</f>
        <v/>
      </c>
      <c r="AA52">
        <f>HYPERLINK("https://klasma.github.io/Logging_1256/klagomål/A 16668-2023 FSC-klagomål.docx", "A 16668-2023")</f>
        <v/>
      </c>
      <c r="AB52">
        <f>HYPERLINK("https://klasma.github.io/Logging_1256/klagomålsmail/A 16668-2023 FSC-klagomål mail.docx", "A 16668-2023")</f>
        <v/>
      </c>
      <c r="AC52">
        <f>HYPERLINK("https://klasma.github.io/Logging_1256/tillsyn/A 16668-2023 tillsynsbegäran.docx", "A 16668-2023")</f>
        <v/>
      </c>
      <c r="AD52">
        <f>HYPERLINK("https://klasma.github.io/Logging_1256/tillsynsmail/A 16668-2023 tillsynsbegäran mail.docx", "A 16668-2023")</f>
        <v/>
      </c>
      <c r="AE52">
        <f>HYPERLINK("https://klasma.github.io/Logging_1256/fåglar/A 16668-2023 prioriterade fågelarter.docx", "A 16668-2023")</f>
        <v/>
      </c>
    </row>
    <row r="53" ht="15" customHeight="1">
      <c r="A53" t="inlineStr">
        <is>
          <t>A 35037-2024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45527</v>
      </c>
      <c r="E53" s="1" t="n">
        <v>46318</v>
      </c>
      <c r="F53" t="inlineStr">
        <is>
          <t>SKÅNE LÄN</t>
        </is>
      </c>
      <c r="G53" t="inlineStr">
        <is>
          <t>ÖSTRA GÖINGE</t>
        </is>
      </c>
      <c r="I53" t="n">
        <v>12.6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Gullpudra</t>
        </is>
      </c>
      <c r="W53">
        <f>HYPERLINK("https://klasma.github.io/Logging_1256/artfynd/A 35037-2024 artfynd.xlsx", "A 35037-2024")</f>
        <v/>
      </c>
      <c r="X53">
        <f>HYPERLINK("https://klasma.github.io/Logging_1256/kartor/A 35037-2024 karta.png", "A 35037-2024")</f>
        <v/>
      </c>
      <c r="Y53">
        <f>HYPERLINK("https://klasma.github.io/Logging_1256/kartor_geotiff/A 35037-2024 georefererad karta.tif", "A 35037-2024")</f>
        <v/>
      </c>
      <c r="AA53">
        <f>HYPERLINK("https://klasma.github.io/Logging_1256/klagomål/A 35037-2024 FSC-klagomål.docx", "A 35037-2024")</f>
        <v/>
      </c>
      <c r="AB53">
        <f>HYPERLINK("https://klasma.github.io/Logging_1256/klagomålsmail/A 35037-2024 FSC-klagomål mail.docx", "A 35037-2024")</f>
        <v/>
      </c>
      <c r="AC53">
        <f>HYPERLINK("https://klasma.github.io/Logging_1256/tillsyn/A 35037-2024 tillsynsbegäran.docx", "A 35037-2024")</f>
        <v/>
      </c>
      <c r="AD53">
        <f>HYPERLINK("https://klasma.github.io/Logging_1256/tillsynsmail/A 35037-2024 tillsynsbegäran mail.docx", "A 35037-2024")</f>
        <v/>
      </c>
    </row>
    <row r="54" ht="15" customHeight="1">
      <c r="A54" t="inlineStr">
        <is>
          <t>A 45359-2023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45192</v>
      </c>
      <c r="E54" s="1" t="n">
        <v>46318</v>
      </c>
      <c r="F54" t="inlineStr">
        <is>
          <t>SKÅNE LÄN</t>
        </is>
      </c>
      <c r="G54" t="inlineStr">
        <is>
          <t>ÖSTRA GÖINGE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Blåmossa</t>
        </is>
      </c>
      <c r="W54">
        <f>HYPERLINK("https://klasma.github.io/Logging_1256/artfynd/A 45359-2023 artfynd.xlsx", "A 45359-2023")</f>
        <v/>
      </c>
      <c r="X54">
        <f>HYPERLINK("https://klasma.github.io/Logging_1256/kartor/A 45359-2023 karta.png", "A 45359-2023")</f>
        <v/>
      </c>
      <c r="Y54">
        <f>HYPERLINK("https://klasma.github.io/Logging_1256/kartor_geotiff/A 45359-2023 georefererad karta.tif", "A 45359-2023")</f>
        <v/>
      </c>
      <c r="AA54">
        <f>HYPERLINK("https://klasma.github.io/Logging_1256/klagomål/A 45359-2023 FSC-klagomål.docx", "A 45359-2023")</f>
        <v/>
      </c>
      <c r="AB54">
        <f>HYPERLINK("https://klasma.github.io/Logging_1256/klagomålsmail/A 45359-2023 FSC-klagomål mail.docx", "A 45359-2023")</f>
        <v/>
      </c>
      <c r="AC54">
        <f>HYPERLINK("https://klasma.github.io/Logging_1256/tillsyn/A 45359-2023 tillsynsbegäran.docx", "A 45359-2023")</f>
        <v/>
      </c>
      <c r="AD54">
        <f>HYPERLINK("https://klasma.github.io/Logging_1256/tillsynsmail/A 45359-2023 tillsynsbegäran mail.docx", "A 45359-2023")</f>
        <v/>
      </c>
    </row>
    <row r="55" ht="15" customHeight="1">
      <c r="A55" t="inlineStr">
        <is>
          <t>A 59369-2024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46318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59369-2024 artfynd.xlsx", "A 59369-2024")</f>
        <v/>
      </c>
      <c r="X55">
        <f>HYPERLINK("https://klasma.github.io/Logging_1256/kartor/A 59369-2024 karta.png", "A 59369-2024")</f>
        <v/>
      </c>
      <c r="Y55">
        <f>HYPERLINK("https://klasma.github.io/Logging_1256/kartor_geotiff/A 59369-2024 georefererad karta.tif", "A 59369-2024")</f>
        <v/>
      </c>
      <c r="AA55">
        <f>HYPERLINK("https://klasma.github.io/Logging_1256/klagomål/A 59369-2024 FSC-klagomål.docx", "A 59369-2024")</f>
        <v/>
      </c>
      <c r="AB55">
        <f>HYPERLINK("https://klasma.github.io/Logging_1256/klagomålsmail/A 59369-2024 FSC-klagomål mail.docx", "A 59369-2024")</f>
        <v/>
      </c>
      <c r="AC55">
        <f>HYPERLINK("https://klasma.github.io/Logging_1256/tillsyn/A 59369-2024 tillsynsbegäran.docx", "A 59369-2024")</f>
        <v/>
      </c>
      <c r="AD55">
        <f>HYPERLINK("https://klasma.github.io/Logging_1256/tillsynsmail/A 59369-2024 tillsynsbegäran mail.docx", "A 59369-2024")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46318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46318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46318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46318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46318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46318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46318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46318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46318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46318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46318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46318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46318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46318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46318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46318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46318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46318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46318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46318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46318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46318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46318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46318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46318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46318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46318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46318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46318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46318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46318</v>
      </c>
      <c r="F88" t="inlineStr">
        <is>
          <t>SKÅNE LÄN</t>
        </is>
      </c>
      <c r="G88" t="inlineStr">
        <is>
          <t>ÖSTRA GÖINGE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46318</v>
      </c>
      <c r="F89" t="inlineStr">
        <is>
          <t>SKÅNE LÄN</t>
        </is>
      </c>
      <c r="G89" t="inlineStr">
        <is>
          <t>ÖSTRA GÖINGE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46318</v>
      </c>
      <c r="F90" t="inlineStr">
        <is>
          <t>SKÅNE LÄN</t>
        </is>
      </c>
      <c r="G90" t="inlineStr">
        <is>
          <t>ÖSTRA GÖINGE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46318</v>
      </c>
      <c r="F91" t="inlineStr">
        <is>
          <t>SKÅNE LÄN</t>
        </is>
      </c>
      <c r="G91" t="inlineStr">
        <is>
          <t>ÖSTRA GÖINGE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44578</v>
      </c>
      <c r="E92" s="1" t="n">
        <v>46318</v>
      </c>
      <c r="F92" t="inlineStr">
        <is>
          <t>SKÅNE LÄN</t>
        </is>
      </c>
      <c r="G92" t="inlineStr">
        <is>
          <t>ÖSTRA GÖINGE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46318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46318</v>
      </c>
      <c r="F94" t="inlineStr">
        <is>
          <t>SKÅNE LÄN</t>
        </is>
      </c>
      <c r="G94" t="inlineStr">
        <is>
          <t>ÖSTRA GÖINGE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45082</v>
      </c>
      <c r="E95" s="1" t="n">
        <v>46318</v>
      </c>
      <c r="F95" t="inlineStr">
        <is>
          <t>SKÅNE LÄN</t>
        </is>
      </c>
      <c r="G95" t="inlineStr">
        <is>
          <t>ÖSTRA GÖINGE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46318</v>
      </c>
      <c r="F96" t="inlineStr">
        <is>
          <t>SKÅNE LÄN</t>
        </is>
      </c>
      <c r="G96" t="inlineStr">
        <is>
          <t>ÖSTRA GÖINGE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46318</v>
      </c>
      <c r="F97" t="inlineStr">
        <is>
          <t>SKÅNE LÄN</t>
        </is>
      </c>
      <c r="G97" t="inlineStr">
        <is>
          <t>ÖSTRA GÖINGE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44623</v>
      </c>
      <c r="E98" s="1" t="n">
        <v>46318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44727</v>
      </c>
      <c r="E99" s="1" t="n">
        <v>46318</v>
      </c>
      <c r="F99" t="inlineStr">
        <is>
          <t>SKÅNE LÄN</t>
        </is>
      </c>
      <c r="G99" t="inlineStr">
        <is>
          <t>ÖSTRA GÖINGE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46318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46318</v>
      </c>
      <c r="F101" t="inlineStr">
        <is>
          <t>SKÅNE LÄN</t>
        </is>
      </c>
      <c r="G101" t="inlineStr">
        <is>
          <t>ÖSTRA GÖINGE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46318</v>
      </c>
      <c r="F102" t="inlineStr">
        <is>
          <t>SKÅNE LÄN</t>
        </is>
      </c>
      <c r="G102" t="inlineStr">
        <is>
          <t>ÖSTRA GÖINGE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74094-2021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46318</v>
      </c>
      <c r="F103" t="inlineStr">
        <is>
          <t>SKÅNE LÄN</t>
        </is>
      </c>
      <c r="G103" t="inlineStr">
        <is>
          <t>ÖSTRA GÖINGE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46318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46318</v>
      </c>
      <c r="F105" t="inlineStr">
        <is>
          <t>SKÅNE LÄN</t>
        </is>
      </c>
      <c r="G105" t="inlineStr">
        <is>
          <t>ÖSTRA GÖINGE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46318</v>
      </c>
      <c r="F106" t="inlineStr">
        <is>
          <t>SKÅNE LÄN</t>
        </is>
      </c>
      <c r="G106" t="inlineStr">
        <is>
          <t>ÖSTRA GÖINGE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46318</v>
      </c>
      <c r="F107" t="inlineStr">
        <is>
          <t>SKÅNE LÄN</t>
        </is>
      </c>
      <c r="G107" t="inlineStr">
        <is>
          <t>ÖSTRA GÖINGE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74142-2021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46318</v>
      </c>
      <c r="F108" t="inlineStr">
        <is>
          <t>SKÅNE LÄN</t>
        </is>
      </c>
      <c r="G108" t="inlineStr">
        <is>
          <t>ÖSTRA GÖINGE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46318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46318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44887</v>
      </c>
      <c r="E111" s="1" t="n">
        <v>46318</v>
      </c>
      <c r="F111" t="inlineStr">
        <is>
          <t>SKÅNE LÄN</t>
        </is>
      </c>
      <c r="G111" t="inlineStr">
        <is>
          <t>ÖSTRA GÖINGE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69384-2021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44531</v>
      </c>
      <c r="E112" s="1" t="n">
        <v>46318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45307</v>
      </c>
      <c r="E113" s="1" t="n">
        <v>46318</v>
      </c>
      <c r="F113" t="inlineStr">
        <is>
          <t>SKÅNE LÄN</t>
        </is>
      </c>
      <c r="G113" t="inlineStr">
        <is>
          <t>ÖSTRA GÖINGE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45256</v>
      </c>
      <c r="E114" s="1" t="n">
        <v>46318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34931-2023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46318</v>
      </c>
      <c r="F115" t="inlineStr">
        <is>
          <t>SKÅNE LÄN</t>
        </is>
      </c>
      <c r="G115" t="inlineStr">
        <is>
          <t>ÖSTRA GÖINGE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24028-2022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44723</v>
      </c>
      <c r="E116" s="1" t="n">
        <v>46318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46318</v>
      </c>
      <c r="F117" t="inlineStr">
        <is>
          <t>SKÅNE LÄN</t>
        </is>
      </c>
      <c r="G117" t="inlineStr">
        <is>
          <t>ÖSTRA GÖINGE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46318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46318</v>
      </c>
      <c r="F119" t="inlineStr">
        <is>
          <t>SKÅNE LÄN</t>
        </is>
      </c>
      <c r="G119" t="inlineStr">
        <is>
          <t>ÖSTRA GÖINGE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46318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46318</v>
      </c>
      <c r="F121" t="inlineStr">
        <is>
          <t>SKÅNE LÄN</t>
        </is>
      </c>
      <c r="G121" t="inlineStr">
        <is>
          <t>ÖSTRA GÖINGE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46318</v>
      </c>
      <c r="F122" t="inlineStr">
        <is>
          <t>SKÅNE LÄN</t>
        </is>
      </c>
      <c r="G122" t="inlineStr">
        <is>
          <t>ÖSTRA GÖINGE</t>
        </is>
      </c>
      <c r="I122" t="n">
        <v>15.4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46318</v>
      </c>
      <c r="F123" t="inlineStr">
        <is>
          <t>SKÅNE LÄN</t>
        </is>
      </c>
      <c r="G123" t="inlineStr">
        <is>
          <t>ÖSTRA GÖINGE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46318</v>
      </c>
      <c r="F124" t="inlineStr">
        <is>
          <t>SKÅNE LÄN</t>
        </is>
      </c>
      <c r="G124" t="inlineStr">
        <is>
          <t>ÖSTRA GÖINGE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46318</v>
      </c>
      <c r="F125" t="inlineStr">
        <is>
          <t>SKÅNE LÄN</t>
        </is>
      </c>
      <c r="G125" t="inlineStr">
        <is>
          <t>ÖSTRA GÖINGE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71747-2021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44539</v>
      </c>
      <c r="E126" s="1" t="n">
        <v>46318</v>
      </c>
      <c r="F126" t="inlineStr">
        <is>
          <t>SKÅNE LÄN</t>
        </is>
      </c>
      <c r="G126" t="inlineStr">
        <is>
          <t>ÖSTRA GÖINGE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46318</v>
      </c>
      <c r="F127" t="inlineStr">
        <is>
          <t>SKÅNE LÄN</t>
        </is>
      </c>
      <c r="G127" t="inlineStr">
        <is>
          <t>ÖSTRA GÖINGE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46318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46318</v>
      </c>
      <c r="F129" t="inlineStr">
        <is>
          <t>SKÅNE LÄN</t>
        </is>
      </c>
      <c r="G129" t="inlineStr">
        <is>
          <t>ÖSTRA GÖINGE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46318</v>
      </c>
      <c r="F130" t="inlineStr">
        <is>
          <t>SKÅNE LÄN</t>
        </is>
      </c>
      <c r="G130" t="inlineStr">
        <is>
          <t>ÖSTRA GÖINGE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46318</v>
      </c>
      <c r="F131" t="inlineStr">
        <is>
          <t>SKÅNE LÄN</t>
        </is>
      </c>
      <c r="G131" t="inlineStr">
        <is>
          <t>ÖSTRA GÖINGE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46318</v>
      </c>
      <c r="F132" t="inlineStr">
        <is>
          <t>SKÅNE LÄN</t>
        </is>
      </c>
      <c r="G132" t="inlineStr">
        <is>
          <t>ÖSTRA GÖINGE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46318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46318</v>
      </c>
      <c r="F134" t="inlineStr">
        <is>
          <t>SKÅNE LÄN</t>
        </is>
      </c>
      <c r="G134" t="inlineStr">
        <is>
          <t>ÖSTRA GÖINGE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46318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46318</v>
      </c>
      <c r="F136" t="inlineStr">
        <is>
          <t>SKÅNE LÄN</t>
        </is>
      </c>
      <c r="G136" t="inlineStr">
        <is>
          <t>ÖSTRA GÖINGE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46318</v>
      </c>
      <c r="F137" t="inlineStr">
        <is>
          <t>SKÅNE LÄN</t>
        </is>
      </c>
      <c r="G137" t="inlineStr">
        <is>
          <t>ÖSTRA GÖINGE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46318</v>
      </c>
      <c r="F138" t="inlineStr">
        <is>
          <t>SKÅNE LÄN</t>
        </is>
      </c>
      <c r="G138" t="inlineStr">
        <is>
          <t>ÖSTRA GÖINGE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45331</v>
      </c>
      <c r="E139" s="1" t="n">
        <v>46318</v>
      </c>
      <c r="F139" t="inlineStr">
        <is>
          <t>SKÅNE LÄN</t>
        </is>
      </c>
      <c r="G139" t="inlineStr">
        <is>
          <t>ÖSTRA GÖINGE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46318</v>
      </c>
      <c r="F140" t="inlineStr">
        <is>
          <t>SKÅNE LÄN</t>
        </is>
      </c>
      <c r="G140" t="inlineStr">
        <is>
          <t>ÖSTRA GÖINGE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46318</v>
      </c>
      <c r="F141" t="inlineStr">
        <is>
          <t>SKÅNE LÄN</t>
        </is>
      </c>
      <c r="G141" t="inlineStr">
        <is>
          <t>ÖSTRA GÖINGE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46318</v>
      </c>
      <c r="F142" t="inlineStr">
        <is>
          <t>SKÅNE LÄN</t>
        </is>
      </c>
      <c r="G142" t="inlineStr">
        <is>
          <t>ÖSTRA GÖINGE</t>
        </is>
      </c>
      <c r="I142" t="n">
        <v>12.8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45667</v>
      </c>
      <c r="E143" s="1" t="n">
        <v>46318</v>
      </c>
      <c r="F143" t="inlineStr">
        <is>
          <t>SKÅNE LÄN</t>
        </is>
      </c>
      <c r="G143" t="inlineStr">
        <is>
          <t>ÖSTRA GÖINGE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46318</v>
      </c>
      <c r="F144" t="inlineStr">
        <is>
          <t>SKÅNE LÄN</t>
        </is>
      </c>
      <c r="G144" t="inlineStr">
        <is>
          <t>ÖSTRA GÖINGE</t>
        </is>
      </c>
      <c r="H144" t="inlineStr">
        <is>
          <t>Kyrkan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46318</v>
      </c>
      <c r="F145" t="inlineStr">
        <is>
          <t>SKÅNE LÄN</t>
        </is>
      </c>
      <c r="G145" t="inlineStr">
        <is>
          <t>ÖSTRA GÖINGE</t>
        </is>
      </c>
      <c r="H145" t="inlineStr">
        <is>
          <t>Kyrkan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45848</v>
      </c>
      <c r="E146" s="1" t="n">
        <v>46318</v>
      </c>
      <c r="F146" t="inlineStr">
        <is>
          <t>SKÅNE LÄN</t>
        </is>
      </c>
      <c r="G146" t="inlineStr">
        <is>
          <t>ÖSTRA GÖINGE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45848</v>
      </c>
      <c r="E147" s="1" t="n">
        <v>46318</v>
      </c>
      <c r="F147" t="inlineStr">
        <is>
          <t>SKÅNE LÄN</t>
        </is>
      </c>
      <c r="G147" t="inlineStr">
        <is>
          <t>ÖSTRA GÖINGE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46318</v>
      </c>
      <c r="F148" t="inlineStr">
        <is>
          <t>SKÅNE LÄN</t>
        </is>
      </c>
      <c r="G148" t="inlineStr">
        <is>
          <t>ÖSTRA GÖINGE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46318</v>
      </c>
      <c r="F149" t="inlineStr">
        <is>
          <t>SKÅNE LÄN</t>
        </is>
      </c>
      <c r="G149" t="inlineStr">
        <is>
          <t>ÖSTRA GÖINGE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46318</v>
      </c>
      <c r="F150" t="inlineStr">
        <is>
          <t>SKÅNE LÄN</t>
        </is>
      </c>
      <c r="G150" t="inlineStr">
        <is>
          <t>ÖSTRA GÖINGE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46318</v>
      </c>
      <c r="F151" t="inlineStr">
        <is>
          <t>SKÅNE LÄN</t>
        </is>
      </c>
      <c r="G151" t="inlineStr">
        <is>
          <t>ÖSTRA GÖINGE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46318</v>
      </c>
      <c r="F152" t="inlineStr">
        <is>
          <t>SKÅNE LÄN</t>
        </is>
      </c>
      <c r="G152" t="inlineStr">
        <is>
          <t>ÖSTRA GÖINGE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46318</v>
      </c>
      <c r="F153" t="inlineStr">
        <is>
          <t>SKÅNE LÄN</t>
        </is>
      </c>
      <c r="G153" t="inlineStr">
        <is>
          <t>ÖSTRA GÖINGE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46318</v>
      </c>
      <c r="F154" t="inlineStr">
        <is>
          <t>SKÅNE LÄN</t>
        </is>
      </c>
      <c r="G154" t="inlineStr">
        <is>
          <t>ÖSTRA GÖINGE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46318</v>
      </c>
      <c r="F155" t="inlineStr">
        <is>
          <t>SKÅNE LÄN</t>
        </is>
      </c>
      <c r="G155" t="inlineStr">
        <is>
          <t>ÖSTRA GÖINGE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46318</v>
      </c>
      <c r="F156" t="inlineStr">
        <is>
          <t>SKÅNE LÄN</t>
        </is>
      </c>
      <c r="G156" t="inlineStr">
        <is>
          <t>ÖSTRA GÖINGE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35547-2023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45146</v>
      </c>
      <c r="E157" s="1" t="n">
        <v>46318</v>
      </c>
      <c r="F157" t="inlineStr">
        <is>
          <t>SKÅNE LÄN</t>
        </is>
      </c>
      <c r="G157" t="inlineStr">
        <is>
          <t>ÖSTRA GÖINGE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45758</v>
      </c>
      <c r="E158" s="1" t="n">
        <v>46318</v>
      </c>
      <c r="F158" t="inlineStr">
        <is>
          <t>SKÅNE LÄN</t>
        </is>
      </c>
      <c r="G158" t="inlineStr">
        <is>
          <t>ÖSTRA GÖINGE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46318</v>
      </c>
      <c r="F159" t="inlineStr">
        <is>
          <t>SKÅNE LÄN</t>
        </is>
      </c>
      <c r="G159" t="inlineStr">
        <is>
          <t>ÖSTRA GÖINGE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45918</v>
      </c>
      <c r="E160" s="1" t="n">
        <v>46318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46318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46318</v>
      </c>
      <c r="F162" t="inlineStr">
        <is>
          <t>SKÅNE LÄN</t>
        </is>
      </c>
      <c r="G162" t="inlineStr">
        <is>
          <t>ÖSTRA GÖINGE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45568</v>
      </c>
      <c r="E163" s="1" t="n">
        <v>46318</v>
      </c>
      <c r="F163" t="inlineStr">
        <is>
          <t>SKÅNE LÄN</t>
        </is>
      </c>
      <c r="G163" t="inlineStr">
        <is>
          <t>ÖSTRA GÖINGE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46318</v>
      </c>
      <c r="F164" t="inlineStr">
        <is>
          <t>SKÅNE LÄN</t>
        </is>
      </c>
      <c r="G164" t="inlineStr">
        <is>
          <t>ÖSTRA GÖINGE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46318</v>
      </c>
      <c r="F165" t="inlineStr">
        <is>
          <t>SKÅNE LÄN</t>
        </is>
      </c>
      <c r="G165" t="inlineStr">
        <is>
          <t>ÖSTRA GÖINGE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46318</v>
      </c>
      <c r="F166" t="inlineStr">
        <is>
          <t>SKÅNE LÄN</t>
        </is>
      </c>
      <c r="G166" t="inlineStr">
        <is>
          <t>ÖSTRA GÖINGE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45935</v>
      </c>
      <c r="E167" s="1" t="n">
        <v>46318</v>
      </c>
      <c r="F167" t="inlineStr">
        <is>
          <t>SKÅNE LÄN</t>
        </is>
      </c>
      <c r="G167" t="inlineStr">
        <is>
          <t>ÖSTRA GÖINGE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44531</v>
      </c>
      <c r="E168" s="1" t="n">
        <v>46318</v>
      </c>
      <c r="F168" t="inlineStr">
        <is>
          <t>SKÅNE LÄN</t>
        </is>
      </c>
      <c r="G168" t="inlineStr">
        <is>
          <t>ÖSTRA GÖINGE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46318</v>
      </c>
      <c r="F169" t="inlineStr">
        <is>
          <t>SKÅNE LÄN</t>
        </is>
      </c>
      <c r="G169" t="inlineStr">
        <is>
          <t>ÖSTRA GÖINGE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46318</v>
      </c>
      <c r="F170" t="inlineStr">
        <is>
          <t>SKÅNE LÄN</t>
        </is>
      </c>
      <c r="G170" t="inlineStr">
        <is>
          <t>ÖSTRA GÖINGE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46318</v>
      </c>
      <c r="F171" t="inlineStr">
        <is>
          <t>SKÅNE LÄN</t>
        </is>
      </c>
      <c r="G171" t="inlineStr">
        <is>
          <t>ÖSTRA GÖINGE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46318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46318</v>
      </c>
      <c r="F173" t="inlineStr">
        <is>
          <t>SKÅNE LÄN</t>
        </is>
      </c>
      <c r="G173" t="inlineStr">
        <is>
          <t>ÖSTRA GÖINGE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46318</v>
      </c>
      <c r="F174" t="inlineStr">
        <is>
          <t>SKÅNE LÄN</t>
        </is>
      </c>
      <c r="G174" t="inlineStr">
        <is>
          <t>ÖSTRA GÖINGE</t>
        </is>
      </c>
      <c r="H174" t="inlineStr">
        <is>
          <t>Sveaskog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46318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46318</v>
      </c>
      <c r="F176" t="inlineStr">
        <is>
          <t>SKÅNE LÄN</t>
        </is>
      </c>
      <c r="G176" t="inlineStr">
        <is>
          <t>ÖSTRA GÖINGE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46318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46318</v>
      </c>
      <c r="F178" t="inlineStr">
        <is>
          <t>SKÅNE LÄN</t>
        </is>
      </c>
      <c r="G178" t="inlineStr">
        <is>
          <t>ÖSTRA GÖINGE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46318</v>
      </c>
      <c r="F179" t="inlineStr">
        <is>
          <t>SKÅNE LÄN</t>
        </is>
      </c>
      <c r="G179" t="inlineStr">
        <is>
          <t>ÖSTRA GÖINGE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46318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46318</v>
      </c>
      <c r="F181" t="inlineStr">
        <is>
          <t>SKÅNE LÄN</t>
        </is>
      </c>
      <c r="G181" t="inlineStr">
        <is>
          <t>ÖSTRA GÖINGE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45205</v>
      </c>
      <c r="E182" s="1" t="n">
        <v>46318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45489</v>
      </c>
      <c r="E183" s="1" t="n">
        <v>46318</v>
      </c>
      <c r="F183" t="inlineStr">
        <is>
          <t>SKÅNE LÄN</t>
        </is>
      </c>
      <c r="G183" t="inlineStr">
        <is>
          <t>ÖSTRA GÖINGE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46318</v>
      </c>
      <c r="F184" t="inlineStr">
        <is>
          <t>SKÅNE LÄN</t>
        </is>
      </c>
      <c r="G184" t="inlineStr">
        <is>
          <t>ÖSTRA GÖINGE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45727</v>
      </c>
      <c r="E185" s="1" t="n">
        <v>46318</v>
      </c>
      <c r="F185" t="inlineStr">
        <is>
          <t>SKÅNE LÄN</t>
        </is>
      </c>
      <c r="G185" t="inlineStr">
        <is>
          <t>ÖSTRA GÖINGE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46318</v>
      </c>
      <c r="F186" t="inlineStr">
        <is>
          <t>SKÅNE LÄN</t>
        </is>
      </c>
      <c r="G186" t="inlineStr">
        <is>
          <t>ÖSTRA GÖINGE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46318</v>
      </c>
      <c r="F187" t="inlineStr">
        <is>
          <t>SKÅNE LÄN</t>
        </is>
      </c>
      <c r="G187" t="inlineStr">
        <is>
          <t>ÖSTRA GÖINGE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44742</v>
      </c>
      <c r="E188" s="1" t="n">
        <v>46318</v>
      </c>
      <c r="F188" t="inlineStr">
        <is>
          <t>SKÅNE LÄN</t>
        </is>
      </c>
      <c r="G188" t="inlineStr">
        <is>
          <t>ÖSTRA GÖINGE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46318</v>
      </c>
      <c r="F189" t="inlineStr">
        <is>
          <t>SKÅNE LÄN</t>
        </is>
      </c>
      <c r="G189" t="inlineStr">
        <is>
          <t>ÖSTRA GÖINGE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46318</v>
      </c>
      <c r="F190" t="inlineStr">
        <is>
          <t>SKÅNE LÄN</t>
        </is>
      </c>
      <c r="G190" t="inlineStr">
        <is>
          <t>ÖSTRA GÖINGE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44887</v>
      </c>
      <c r="E191" s="1" t="n">
        <v>46318</v>
      </c>
      <c r="F191" t="inlineStr">
        <is>
          <t>SKÅNE LÄN</t>
        </is>
      </c>
      <c r="G191" t="inlineStr">
        <is>
          <t>ÖSTRA GÖINGE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46318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46318</v>
      </c>
      <c r="F193" t="inlineStr">
        <is>
          <t>SKÅNE LÄN</t>
        </is>
      </c>
      <c r="G193" t="inlineStr">
        <is>
          <t>ÖSTRA GÖINGE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46318</v>
      </c>
      <c r="F194" t="inlineStr">
        <is>
          <t>SKÅNE LÄN</t>
        </is>
      </c>
      <c r="G194" t="inlineStr">
        <is>
          <t>ÖSTRA GÖINGE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46318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46318</v>
      </c>
      <c r="F196" t="inlineStr">
        <is>
          <t>SKÅNE LÄN</t>
        </is>
      </c>
      <c r="G196" t="inlineStr">
        <is>
          <t>ÖSTRA GÖINGE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46318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46318</v>
      </c>
      <c r="F198" t="inlineStr">
        <is>
          <t>SKÅNE LÄN</t>
        </is>
      </c>
      <c r="G198" t="inlineStr">
        <is>
          <t>ÖSTRA GÖINGE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46318</v>
      </c>
      <c r="F199" t="inlineStr">
        <is>
          <t>SKÅNE LÄN</t>
        </is>
      </c>
      <c r="G199" t="inlineStr">
        <is>
          <t>ÖSTRA GÖINGE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46318</v>
      </c>
      <c r="F200" t="inlineStr">
        <is>
          <t>SKÅNE LÄN</t>
        </is>
      </c>
      <c r="G200" t="inlineStr">
        <is>
          <t>ÖSTRA GÖINGE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45970</v>
      </c>
      <c r="E201" s="1" t="n">
        <v>46318</v>
      </c>
      <c r="F201" t="inlineStr">
        <is>
          <t>SKÅNE LÄN</t>
        </is>
      </c>
      <c r="G201" t="inlineStr">
        <is>
          <t>ÖSTRA GÖINGE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46318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46318</v>
      </c>
      <c r="F203" t="inlineStr">
        <is>
          <t>SKÅNE LÄN</t>
        </is>
      </c>
      <c r="G203" t="inlineStr">
        <is>
          <t>ÖSTRA GÖINGE</t>
        </is>
      </c>
      <c r="H203" t="inlineStr">
        <is>
          <t>Sveaskog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46318</v>
      </c>
      <c r="F204" t="inlineStr">
        <is>
          <t>SKÅNE LÄN</t>
        </is>
      </c>
      <c r="G204" t="inlineStr">
        <is>
          <t>ÖSTRA GÖINGE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46318</v>
      </c>
      <c r="F205" t="inlineStr">
        <is>
          <t>SKÅNE LÄN</t>
        </is>
      </c>
      <c r="G205" t="inlineStr">
        <is>
          <t>ÖSTRA GÖINGE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46318</v>
      </c>
      <c r="F206" t="inlineStr">
        <is>
          <t>SKÅNE LÄN</t>
        </is>
      </c>
      <c r="G206" t="inlineStr">
        <is>
          <t>ÖSTRA GÖINGE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21260-2026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46147</v>
      </c>
      <c r="E207" s="1" t="n">
        <v>46318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46318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55716-2024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45622</v>
      </c>
      <c r="E209" s="1" t="n">
        <v>46318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46318</v>
      </c>
      <c r="F210" t="inlineStr">
        <is>
          <t>SKÅNE LÄN</t>
        </is>
      </c>
      <c r="G210" t="inlineStr">
        <is>
          <t>ÖSTRA GÖINGE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46318</v>
      </c>
      <c r="F211" t="inlineStr">
        <is>
          <t>SKÅNE LÄN</t>
        </is>
      </c>
      <c r="G211" t="inlineStr">
        <is>
          <t>ÖSTRA GÖINGE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46318</v>
      </c>
      <c r="F212" t="inlineStr">
        <is>
          <t>SKÅNE LÄN</t>
        </is>
      </c>
      <c r="G212" t="inlineStr">
        <is>
          <t>ÖSTRA GÖINGE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46318</v>
      </c>
      <c r="F213" t="inlineStr">
        <is>
          <t>SKÅNE LÄN</t>
        </is>
      </c>
      <c r="G213" t="inlineStr">
        <is>
          <t>ÖSTRA GÖINGE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46318</v>
      </c>
      <c r="F214" t="inlineStr">
        <is>
          <t>SKÅNE LÄN</t>
        </is>
      </c>
      <c r="G214" t="inlineStr">
        <is>
          <t>ÖSTRA GÖINGE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46318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46318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46318</v>
      </c>
      <c r="F217" t="inlineStr">
        <is>
          <t>SKÅNE LÄN</t>
        </is>
      </c>
      <c r="G217" t="inlineStr">
        <is>
          <t>ÖSTRA GÖINGE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46318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46318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46318</v>
      </c>
      <c r="F220" t="inlineStr">
        <is>
          <t>SKÅNE LÄN</t>
        </is>
      </c>
      <c r="G220" t="inlineStr">
        <is>
          <t>ÖSTRA GÖINGE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46318</v>
      </c>
      <c r="F221" t="inlineStr">
        <is>
          <t>SKÅNE LÄN</t>
        </is>
      </c>
      <c r="G221" t="inlineStr">
        <is>
          <t>ÖSTRA GÖINGE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46318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46318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46318</v>
      </c>
      <c r="F224" t="inlineStr">
        <is>
          <t>SKÅNE LÄN</t>
        </is>
      </c>
      <c r="G224" t="inlineStr">
        <is>
          <t>ÖSTRA GÖINGE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46318</v>
      </c>
      <c r="F225" t="inlineStr">
        <is>
          <t>SKÅNE LÄN</t>
        </is>
      </c>
      <c r="G225" t="inlineStr">
        <is>
          <t>ÖSTRA GÖINGE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46318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46318</v>
      </c>
      <c r="F227" t="inlineStr">
        <is>
          <t>SKÅNE LÄN</t>
        </is>
      </c>
      <c r="G227" t="inlineStr">
        <is>
          <t>ÖSTRA GÖINGE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46318</v>
      </c>
      <c r="F228" t="inlineStr">
        <is>
          <t>SKÅNE LÄN</t>
        </is>
      </c>
      <c r="G228" t="inlineStr">
        <is>
          <t>ÖSTRA GÖINGE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46318</v>
      </c>
      <c r="F229" t="inlineStr">
        <is>
          <t>SKÅNE LÄN</t>
        </is>
      </c>
      <c r="G229" t="inlineStr">
        <is>
          <t>ÖSTRA GÖINGE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46318</v>
      </c>
      <c r="F230" t="inlineStr">
        <is>
          <t>SKÅNE LÄN</t>
        </is>
      </c>
      <c r="G230" t="inlineStr">
        <is>
          <t>ÖSTRA GÖINGE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45774</v>
      </c>
      <c r="E231" s="1" t="n">
        <v>46318</v>
      </c>
      <c r="F231" t="inlineStr">
        <is>
          <t>SKÅNE LÄN</t>
        </is>
      </c>
      <c r="G231" t="inlineStr">
        <is>
          <t>ÖSTRA GÖINGE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46318</v>
      </c>
      <c r="F232" t="inlineStr">
        <is>
          <t>SKÅNE LÄN</t>
        </is>
      </c>
      <c r="G232" t="inlineStr">
        <is>
          <t>ÖSTRA GÖINGE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46318</v>
      </c>
      <c r="F233" t="inlineStr">
        <is>
          <t>SKÅNE LÄN</t>
        </is>
      </c>
      <c r="G233" t="inlineStr">
        <is>
          <t>ÖSTRA GÖINGE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45538</v>
      </c>
      <c r="E234" s="1" t="n">
        <v>46318</v>
      </c>
      <c r="F234" t="inlineStr">
        <is>
          <t>SKÅNE LÄN</t>
        </is>
      </c>
      <c r="G234" t="inlineStr">
        <is>
          <t>ÖSTRA GÖINGE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45686</v>
      </c>
      <c r="E235" s="1" t="n">
        <v>46318</v>
      </c>
      <c r="F235" t="inlineStr">
        <is>
          <t>SKÅNE LÄN</t>
        </is>
      </c>
      <c r="G235" t="inlineStr">
        <is>
          <t>ÖSTRA GÖINGE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46318</v>
      </c>
      <c r="F236" t="inlineStr">
        <is>
          <t>SKÅNE LÄN</t>
        </is>
      </c>
      <c r="G236" t="inlineStr">
        <is>
          <t>ÖSTRA GÖINGE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46318</v>
      </c>
      <c r="F237" t="inlineStr">
        <is>
          <t>SKÅNE LÄN</t>
        </is>
      </c>
      <c r="G237" t="inlineStr">
        <is>
          <t>ÖSTRA GÖINGE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46318</v>
      </c>
      <c r="F238" t="inlineStr">
        <is>
          <t>SKÅNE LÄN</t>
        </is>
      </c>
      <c r="G238" t="inlineStr">
        <is>
          <t>ÖSTRA GÖINGE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46318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46318</v>
      </c>
      <c r="F240" t="inlineStr">
        <is>
          <t>SKÅNE LÄN</t>
        </is>
      </c>
      <c r="G240" t="inlineStr">
        <is>
          <t>ÖSTRA GÖINGE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46318</v>
      </c>
      <c r="F241" t="inlineStr">
        <is>
          <t>SKÅNE LÄN</t>
        </is>
      </c>
      <c r="G241" t="inlineStr">
        <is>
          <t>ÖSTRA GÖINGE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45076</v>
      </c>
      <c r="E242" s="1" t="n">
        <v>46318</v>
      </c>
      <c r="F242" t="inlineStr">
        <is>
          <t>SKÅNE LÄN</t>
        </is>
      </c>
      <c r="G242" t="inlineStr">
        <is>
          <t>ÖSTRA GÖINGE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46318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45765</v>
      </c>
      <c r="E244" s="1" t="n">
        <v>46318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46318</v>
      </c>
      <c r="F245" t="inlineStr">
        <is>
          <t>SKÅNE LÄN</t>
        </is>
      </c>
      <c r="G245" t="inlineStr">
        <is>
          <t>ÖSTRA GÖINGE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46318</v>
      </c>
      <c r="F246" t="inlineStr">
        <is>
          <t>SKÅNE LÄN</t>
        </is>
      </c>
      <c r="G246" t="inlineStr">
        <is>
          <t>ÖSTRA GÖINGE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46318</v>
      </c>
      <c r="F247" t="inlineStr">
        <is>
          <t>SKÅNE LÄN</t>
        </is>
      </c>
      <c r="G247" t="inlineStr">
        <is>
          <t>ÖSTRA GÖINGE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46318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45259</v>
      </c>
      <c r="E249" s="1" t="n">
        <v>46318</v>
      </c>
      <c r="F249" t="inlineStr">
        <is>
          <t>SKÅNE LÄN</t>
        </is>
      </c>
      <c r="G249" t="inlineStr">
        <is>
          <t>ÖSTRA GÖINGE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46318</v>
      </c>
      <c r="F250" t="inlineStr">
        <is>
          <t>SKÅNE LÄN</t>
        </is>
      </c>
      <c r="G250" t="inlineStr">
        <is>
          <t>ÖSTRA GÖINGE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46318</v>
      </c>
      <c r="F251" t="inlineStr">
        <is>
          <t>SKÅNE LÄN</t>
        </is>
      </c>
      <c r="G251" t="inlineStr">
        <is>
          <t>ÖSTRA GÖINGE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46318</v>
      </c>
      <c r="F252" t="inlineStr">
        <is>
          <t>SKÅNE LÄN</t>
        </is>
      </c>
      <c r="G252" t="inlineStr">
        <is>
          <t>ÖSTRA GÖINGE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44897</v>
      </c>
      <c r="E253" s="1" t="n">
        <v>46318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46318</v>
      </c>
      <c r="F254" t="inlineStr">
        <is>
          <t>SKÅNE LÄN</t>
        </is>
      </c>
      <c r="G254" t="inlineStr">
        <is>
          <t>ÖSTRA GÖINGE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45321</v>
      </c>
      <c r="E255" s="1" t="n">
        <v>46318</v>
      </c>
      <c r="F255" t="inlineStr">
        <is>
          <t>SKÅNE LÄN</t>
        </is>
      </c>
      <c r="G255" t="inlineStr">
        <is>
          <t>ÖSTRA GÖINGE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46318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46318</v>
      </c>
      <c r="F257" t="inlineStr">
        <is>
          <t>SKÅNE LÄN</t>
        </is>
      </c>
      <c r="G257" t="inlineStr">
        <is>
          <t>ÖSTRA GÖINGE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46318</v>
      </c>
      <c r="F258" t="inlineStr">
        <is>
          <t>SKÅNE LÄN</t>
        </is>
      </c>
      <c r="G258" t="inlineStr">
        <is>
          <t>ÖSTRA GÖINGE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46318</v>
      </c>
      <c r="F259" t="inlineStr">
        <is>
          <t>SKÅNE LÄN</t>
        </is>
      </c>
      <c r="G259" t="inlineStr">
        <is>
          <t>ÖSTRA GÖINGE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46318</v>
      </c>
      <c r="F260" t="inlineStr">
        <is>
          <t>SKÅNE LÄN</t>
        </is>
      </c>
      <c r="G260" t="inlineStr">
        <is>
          <t>ÖSTRA GÖINGE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46318</v>
      </c>
      <c r="F261" t="inlineStr">
        <is>
          <t>SKÅNE LÄN</t>
        </is>
      </c>
      <c r="G261" t="inlineStr">
        <is>
          <t>ÖSTRA GÖINGE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46318</v>
      </c>
      <c r="F262" t="inlineStr">
        <is>
          <t>SKÅNE LÄN</t>
        </is>
      </c>
      <c r="G262" t="inlineStr">
        <is>
          <t>ÖSTRA GÖINGE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46318</v>
      </c>
      <c r="F263" t="inlineStr">
        <is>
          <t>SKÅNE LÄN</t>
        </is>
      </c>
      <c r="G263" t="inlineStr">
        <is>
          <t>ÖSTRA GÖINGE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44810</v>
      </c>
      <c r="E264" s="1" t="n">
        <v>46318</v>
      </c>
      <c r="F264" t="inlineStr">
        <is>
          <t>SKÅNE LÄN</t>
        </is>
      </c>
      <c r="G264" t="inlineStr">
        <is>
          <t>ÖSTRA GÖINGE</t>
        </is>
      </c>
      <c r="H264" t="inlineStr">
        <is>
          <t>Kyrkan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46318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46318</v>
      </c>
      <c r="F266" t="inlineStr">
        <is>
          <t>SKÅNE LÄN</t>
        </is>
      </c>
      <c r="G266" t="inlineStr">
        <is>
          <t>ÖSTRA GÖINGE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46318</v>
      </c>
      <c r="F267" t="inlineStr">
        <is>
          <t>SKÅNE LÄN</t>
        </is>
      </c>
      <c r="G267" t="inlineStr">
        <is>
          <t>ÖSTRA GÖINGE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46318</v>
      </c>
      <c r="F268" t="inlineStr">
        <is>
          <t>SKÅNE LÄN</t>
        </is>
      </c>
      <c r="G268" t="inlineStr">
        <is>
          <t>ÖSTRA GÖINGE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46318</v>
      </c>
      <c r="F269" t="inlineStr">
        <is>
          <t>SKÅNE LÄN</t>
        </is>
      </c>
      <c r="G269" t="inlineStr">
        <is>
          <t>ÖSTRA GÖINGE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46318</v>
      </c>
      <c r="F270" t="inlineStr">
        <is>
          <t>SKÅNE LÄN</t>
        </is>
      </c>
      <c r="G270" t="inlineStr">
        <is>
          <t>ÖSTRA GÖINGE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46318</v>
      </c>
      <c r="F271" t="inlineStr">
        <is>
          <t>SKÅNE LÄN</t>
        </is>
      </c>
      <c r="G271" t="inlineStr">
        <is>
          <t>ÖSTRA GÖINGE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46318</v>
      </c>
      <c r="F272" t="inlineStr">
        <is>
          <t>SKÅNE LÄN</t>
        </is>
      </c>
      <c r="G272" t="inlineStr">
        <is>
          <t>ÖSTRA GÖINGE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46318</v>
      </c>
      <c r="F273" t="inlineStr">
        <is>
          <t>SKÅNE LÄN</t>
        </is>
      </c>
      <c r="G273" t="inlineStr">
        <is>
          <t>ÖSTRA GÖINGE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46318</v>
      </c>
      <c r="F274" t="inlineStr">
        <is>
          <t>SKÅNE LÄN</t>
        </is>
      </c>
      <c r="G274" t="inlineStr">
        <is>
          <t>ÖSTRA GÖINGE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46318</v>
      </c>
      <c r="F275" t="inlineStr">
        <is>
          <t>SKÅNE LÄN</t>
        </is>
      </c>
      <c r="G275" t="inlineStr">
        <is>
          <t>ÖSTRA GÖINGE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46318</v>
      </c>
      <c r="F276" t="inlineStr">
        <is>
          <t>SKÅNE LÄN</t>
        </is>
      </c>
      <c r="G276" t="inlineStr">
        <is>
          <t>ÖSTRA GÖINGE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44992</v>
      </c>
      <c r="E277" s="1" t="n">
        <v>46318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45203</v>
      </c>
      <c r="E278" s="1" t="n">
        <v>46318</v>
      </c>
      <c r="F278" t="inlineStr">
        <is>
          <t>SKÅNE LÄN</t>
        </is>
      </c>
      <c r="G278" t="inlineStr">
        <is>
          <t>ÖSTRA GÖINGE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46318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45121</v>
      </c>
      <c r="E280" s="1" t="n">
        <v>46318</v>
      </c>
      <c r="F280" t="inlineStr">
        <is>
          <t>SKÅNE LÄN</t>
        </is>
      </c>
      <c r="G280" t="inlineStr">
        <is>
          <t>ÖSTRA GÖINGE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46318</v>
      </c>
      <c r="F281" t="inlineStr">
        <is>
          <t>SKÅNE LÄN</t>
        </is>
      </c>
      <c r="G281" t="inlineStr">
        <is>
          <t>ÖSTRA GÖINGE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46318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46182</v>
      </c>
      <c r="E283" s="1" t="n">
        <v>46318</v>
      </c>
      <c r="F283" t="inlineStr">
        <is>
          <t>SKÅNE LÄN</t>
        </is>
      </c>
      <c r="G283" t="inlineStr">
        <is>
          <t>ÖSTRA GÖINGE</t>
        </is>
      </c>
      <c r="I283" t="n">
        <v>34.5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45274</v>
      </c>
      <c r="E284" s="1" t="n">
        <v>46318</v>
      </c>
      <c r="F284" t="inlineStr">
        <is>
          <t>SKÅNE LÄN</t>
        </is>
      </c>
      <c r="G284" t="inlineStr">
        <is>
          <t>ÖSTRA GÖINGE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7057-2026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46057</v>
      </c>
      <c r="E285" s="1" t="n">
        <v>46318</v>
      </c>
      <c r="F285" t="inlineStr">
        <is>
          <t>SKÅNE LÄN</t>
        </is>
      </c>
      <c r="G285" t="inlineStr">
        <is>
          <t>ÖSTRA GÖINGE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46318</v>
      </c>
      <c r="F286" t="inlineStr">
        <is>
          <t>SKÅNE LÄN</t>
        </is>
      </c>
      <c r="G286" t="inlineStr">
        <is>
          <t>ÖSTRA GÖINGE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46318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46318</v>
      </c>
      <c r="F288" t="inlineStr">
        <is>
          <t>SKÅNE LÄN</t>
        </is>
      </c>
      <c r="G288" t="inlineStr">
        <is>
          <t>ÖSTRA GÖINGE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55140-2022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44886</v>
      </c>
      <c r="E289" s="1" t="n">
        <v>46318</v>
      </c>
      <c r="F289" t="inlineStr">
        <is>
          <t>SKÅNE LÄN</t>
        </is>
      </c>
      <c r="G289" t="inlineStr">
        <is>
          <t>ÖSTRA GÖINGE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46318</v>
      </c>
      <c r="F290" t="inlineStr">
        <is>
          <t>SKÅNE LÄN</t>
        </is>
      </c>
      <c r="G290" t="inlineStr">
        <is>
          <t>ÖSTRA GÖINGE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45564</v>
      </c>
      <c r="E291" s="1" t="n">
        <v>46318</v>
      </c>
      <c r="F291" t="inlineStr">
        <is>
          <t>SKÅNE LÄN</t>
        </is>
      </c>
      <c r="G291" t="inlineStr">
        <is>
          <t>ÖSTRA GÖINGE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46318</v>
      </c>
      <c r="F292" t="inlineStr">
        <is>
          <t>SKÅNE LÄN</t>
        </is>
      </c>
      <c r="G292" t="inlineStr">
        <is>
          <t>ÖSTRA GÖINGE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27318-2022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44742</v>
      </c>
      <c r="E293" s="1" t="n">
        <v>46318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45022</v>
      </c>
      <c r="E294" s="1" t="n">
        <v>46318</v>
      </c>
      <c r="F294" t="inlineStr">
        <is>
          <t>SKÅNE LÄN</t>
        </is>
      </c>
      <c r="G294" t="inlineStr">
        <is>
          <t>ÖSTRA GÖINGE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45699</v>
      </c>
      <c r="E295" s="1" t="n">
        <v>46318</v>
      </c>
      <c r="F295" t="inlineStr">
        <is>
          <t>SKÅNE LÄN</t>
        </is>
      </c>
      <c r="G295" t="inlineStr">
        <is>
          <t>ÖSTRA GÖINGE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46318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46318</v>
      </c>
      <c r="F297" t="inlineStr">
        <is>
          <t>SKÅNE LÄN</t>
        </is>
      </c>
      <c r="G297" t="inlineStr">
        <is>
          <t>ÖSTRA GÖINGE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36324-2022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44803</v>
      </c>
      <c r="E298" s="1" t="n">
        <v>46318</v>
      </c>
      <c r="F298" t="inlineStr">
        <is>
          <t>SKÅNE LÄN</t>
        </is>
      </c>
      <c r="G298" t="inlineStr">
        <is>
          <t>ÖSTRA GÖINGE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45188</v>
      </c>
      <c r="E299" s="1" t="n">
        <v>46318</v>
      </c>
      <c r="F299" t="inlineStr">
        <is>
          <t>SKÅNE LÄN</t>
        </is>
      </c>
      <c r="G299" t="inlineStr">
        <is>
          <t>ÖSTRA GÖINGE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46318</v>
      </c>
      <c r="F300" t="inlineStr">
        <is>
          <t>SKÅNE LÄN</t>
        </is>
      </c>
      <c r="G300" t="inlineStr">
        <is>
          <t>ÖSTRA GÖINGE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46318</v>
      </c>
      <c r="F301" t="inlineStr">
        <is>
          <t>SKÅNE LÄN</t>
        </is>
      </c>
      <c r="G301" t="inlineStr">
        <is>
          <t>ÖSTRA GÖINGE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46318</v>
      </c>
      <c r="F302" t="inlineStr">
        <is>
          <t>SKÅNE LÄN</t>
        </is>
      </c>
      <c r="G302" t="inlineStr">
        <is>
          <t>ÖSTRA GÖINGE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46318</v>
      </c>
      <c r="F303" t="inlineStr">
        <is>
          <t>SKÅNE LÄN</t>
        </is>
      </c>
      <c r="G303" t="inlineStr">
        <is>
          <t>ÖSTRA GÖINGE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46318</v>
      </c>
      <c r="F304" t="inlineStr">
        <is>
          <t>SKÅNE LÄN</t>
        </is>
      </c>
      <c r="G304" t="inlineStr">
        <is>
          <t>ÖSTRA GÖINGE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46318</v>
      </c>
      <c r="F305" t="inlineStr">
        <is>
          <t>SKÅNE LÄN</t>
        </is>
      </c>
      <c r="G305" t="inlineStr">
        <is>
          <t>ÖSTRA GÖINGE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46318</v>
      </c>
      <c r="F306" t="inlineStr">
        <is>
          <t>SKÅNE LÄN</t>
        </is>
      </c>
      <c r="G306" t="inlineStr">
        <is>
          <t>ÖSTRA GÖINGE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46318</v>
      </c>
      <c r="F307" t="inlineStr">
        <is>
          <t>SKÅNE LÄN</t>
        </is>
      </c>
      <c r="G307" t="inlineStr">
        <is>
          <t>ÖSTRA GÖINGE</t>
        </is>
      </c>
      <c r="I307" t="n">
        <v>11.9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46318</v>
      </c>
      <c r="F308" t="inlineStr">
        <is>
          <t>SKÅNE LÄN</t>
        </is>
      </c>
      <c r="G308" t="inlineStr">
        <is>
          <t>ÖSTRA GÖINGE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45475</v>
      </c>
      <c r="E309" s="1" t="n">
        <v>46318</v>
      </c>
      <c r="F309" t="inlineStr">
        <is>
          <t>SKÅNE LÄN</t>
        </is>
      </c>
      <c r="G309" t="inlineStr">
        <is>
          <t>ÖSTRA GÖINGE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46269</v>
      </c>
      <c r="E310" s="1" t="n">
        <v>46318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46318</v>
      </c>
      <c r="F311" t="inlineStr">
        <is>
          <t>SKÅNE LÄN</t>
        </is>
      </c>
      <c r="G311" t="inlineStr">
        <is>
          <t>ÖSTRA GÖINGE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46318</v>
      </c>
      <c r="F312" t="inlineStr">
        <is>
          <t>SKÅNE LÄN</t>
        </is>
      </c>
      <c r="G312" t="inlineStr">
        <is>
          <t>ÖSTRA GÖINGE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46315</v>
      </c>
      <c r="E313" s="1" t="n">
        <v>46318</v>
      </c>
      <c r="F313" t="inlineStr">
        <is>
          <t>SKÅNE LÄN</t>
        </is>
      </c>
      <c r="G313" t="inlineStr">
        <is>
          <t>ÖSTRA GÖINGE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46315</v>
      </c>
      <c r="E314" s="1" t="n">
        <v>46318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46318</v>
      </c>
      <c r="F315" t="inlineStr">
        <is>
          <t>SKÅNE LÄN</t>
        </is>
      </c>
      <c r="G315" t="inlineStr">
        <is>
          <t>ÖSTRA GÖINGE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46314</v>
      </c>
      <c r="E316" s="1" t="n">
        <v>46318</v>
      </c>
      <c r="F316" t="inlineStr">
        <is>
          <t>SKÅNE LÄN</t>
        </is>
      </c>
      <c r="G316" t="inlineStr">
        <is>
          <t>ÖSTRA GÖINGE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46318</v>
      </c>
      <c r="F317" t="inlineStr">
        <is>
          <t>SKÅNE LÄN</t>
        </is>
      </c>
      <c r="G317" t="inlineStr">
        <is>
          <t>ÖSTRA GÖINGE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46206</v>
      </c>
      <c r="E318" s="1" t="n">
        <v>46318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46318</v>
      </c>
      <c r="F319" t="inlineStr">
        <is>
          <t>SKÅNE LÄN</t>
        </is>
      </c>
      <c r="G319" t="inlineStr">
        <is>
          <t>ÖSTRA GÖINGE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46318</v>
      </c>
      <c r="F320" t="inlineStr">
        <is>
          <t>SKÅNE LÄN</t>
        </is>
      </c>
      <c r="G320" t="inlineStr">
        <is>
          <t>ÖSTRA GÖINGE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46318</v>
      </c>
      <c r="F321" t="inlineStr">
        <is>
          <t>SKÅNE LÄN</t>
        </is>
      </c>
      <c r="G321" t="inlineStr">
        <is>
          <t>ÖSTRA GÖINGE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46318</v>
      </c>
      <c r="F322" t="inlineStr">
        <is>
          <t>SKÅNE LÄN</t>
        </is>
      </c>
      <c r="G322" t="inlineStr">
        <is>
          <t>ÖSTRA GÖINGE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46318</v>
      </c>
      <c r="F323" t="inlineStr">
        <is>
          <t>SKÅNE LÄN</t>
        </is>
      </c>
      <c r="G323" t="inlineStr">
        <is>
          <t>ÖSTRA GÖINGE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46318</v>
      </c>
      <c r="F324" t="inlineStr">
        <is>
          <t>SKÅNE LÄN</t>
        </is>
      </c>
      <c r="G324" t="inlineStr">
        <is>
          <t>ÖSTRA GÖINGE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46318</v>
      </c>
      <c r="F325" t="inlineStr">
        <is>
          <t>SKÅNE LÄN</t>
        </is>
      </c>
      <c r="G325" t="inlineStr">
        <is>
          <t>ÖSTRA GÖINGE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45539</v>
      </c>
      <c r="E326" s="1" t="n">
        <v>46318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45638</v>
      </c>
      <c r="E327" s="1" t="n">
        <v>46318</v>
      </c>
      <c r="F327" t="inlineStr">
        <is>
          <t>SKÅNE LÄN</t>
        </is>
      </c>
      <c r="G327" t="inlineStr">
        <is>
          <t>ÖSTRA GÖINGE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46318</v>
      </c>
      <c r="F328" t="inlineStr">
        <is>
          <t>SKÅNE LÄN</t>
        </is>
      </c>
      <c r="G328" t="inlineStr">
        <is>
          <t>ÖSTRA GÖINGE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46318</v>
      </c>
      <c r="F329" t="inlineStr">
        <is>
          <t>SKÅNE LÄN</t>
        </is>
      </c>
      <c r="G329" t="inlineStr">
        <is>
          <t>ÖSTRA GÖINGE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45227</v>
      </c>
      <c r="E330" s="1" t="n">
        <v>46318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46318</v>
      </c>
      <c r="F331" t="inlineStr">
        <is>
          <t>SKÅNE LÄN</t>
        </is>
      </c>
      <c r="G331" t="inlineStr">
        <is>
          <t>ÖSTRA GÖINGE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46318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46318</v>
      </c>
      <c r="F333" t="inlineStr">
        <is>
          <t>SKÅNE LÄN</t>
        </is>
      </c>
      <c r="G333" t="inlineStr">
        <is>
          <t>ÖSTRA GÖINGE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46318</v>
      </c>
      <c r="F334" t="inlineStr">
        <is>
          <t>SKÅNE LÄN</t>
        </is>
      </c>
      <c r="G334" t="inlineStr">
        <is>
          <t>ÖSTRA GÖINGE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46318</v>
      </c>
      <c r="F335" t="inlineStr">
        <is>
          <t>SKÅNE LÄN</t>
        </is>
      </c>
      <c r="G335" t="inlineStr">
        <is>
          <t>ÖSTRA GÖINGE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46318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46318</v>
      </c>
      <c r="F337" t="inlineStr">
        <is>
          <t>SKÅNE LÄN</t>
        </is>
      </c>
      <c r="G337" t="inlineStr">
        <is>
          <t>ÖSTRA GÖINGE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46318</v>
      </c>
      <c r="F338" t="inlineStr">
        <is>
          <t>SKÅNE LÄN</t>
        </is>
      </c>
      <c r="G338" t="inlineStr">
        <is>
          <t>ÖSTRA GÖINGE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45320</v>
      </c>
      <c r="E339" s="1" t="n">
        <v>46318</v>
      </c>
      <c r="F339" t="inlineStr">
        <is>
          <t>SKÅNE LÄN</t>
        </is>
      </c>
      <c r="G339" t="inlineStr">
        <is>
          <t>ÖSTRA GÖINGE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45428</v>
      </c>
      <c r="E340" s="1" t="n">
        <v>46318</v>
      </c>
      <c r="F340" t="inlineStr">
        <is>
          <t>SKÅNE LÄN</t>
        </is>
      </c>
      <c r="G340" t="inlineStr">
        <is>
          <t>ÖSTRA GÖINGE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46318</v>
      </c>
      <c r="F341" t="inlineStr">
        <is>
          <t>SKÅNE LÄN</t>
        </is>
      </c>
      <c r="G341" t="inlineStr">
        <is>
          <t>ÖSTRA GÖINGE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45252</v>
      </c>
      <c r="E342" s="1" t="n">
        <v>46318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46318</v>
      </c>
      <c r="F343" t="inlineStr">
        <is>
          <t>SKÅNE LÄN</t>
        </is>
      </c>
      <c r="G343" t="inlineStr">
        <is>
          <t>ÖSTRA GÖINGE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46241</v>
      </c>
      <c r="E344" s="1" t="n">
        <v>46318</v>
      </c>
      <c r="F344" t="inlineStr">
        <is>
          <t>SKÅNE LÄN</t>
        </is>
      </c>
      <c r="G344" t="inlineStr">
        <is>
          <t>ÖSTRA GÖINGE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46318</v>
      </c>
      <c r="F345" t="inlineStr">
        <is>
          <t>SKÅNE LÄN</t>
        </is>
      </c>
      <c r="G345" t="inlineStr">
        <is>
          <t>ÖSTRA GÖINGE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46318</v>
      </c>
      <c r="F346" t="inlineStr">
        <is>
          <t>SKÅNE LÄN</t>
        </is>
      </c>
      <c r="G346" t="inlineStr">
        <is>
          <t>ÖSTRA GÖINGE</t>
        </is>
      </c>
      <c r="I346" t="n">
        <v>11.9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45686</v>
      </c>
      <c r="E347" s="1" t="n">
        <v>46318</v>
      </c>
      <c r="F347" t="inlineStr">
        <is>
          <t>SKÅNE LÄN</t>
        </is>
      </c>
      <c r="G347" t="inlineStr">
        <is>
          <t>ÖSTRA GÖINGE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44602</v>
      </c>
      <c r="E348" s="1" t="n">
        <v>46318</v>
      </c>
      <c r="F348" t="inlineStr">
        <is>
          <t>SKÅNE LÄN</t>
        </is>
      </c>
      <c r="G348" t="inlineStr">
        <is>
          <t>ÖSTRA GÖINGE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44937</v>
      </c>
      <c r="E349" s="1" t="n">
        <v>46318</v>
      </c>
      <c r="F349" t="inlineStr">
        <is>
          <t>SKÅNE LÄN</t>
        </is>
      </c>
      <c r="G349" t="inlineStr">
        <is>
          <t>ÖSTRA GÖINGE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45316</v>
      </c>
      <c r="E350" s="1" t="n">
        <v>46318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45422</v>
      </c>
      <c r="E351" s="1" t="n">
        <v>46318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44627</v>
      </c>
      <c r="E352" s="1" t="n">
        <v>46318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44937</v>
      </c>
      <c r="E353" s="1" t="n">
        <v>46318</v>
      </c>
      <c r="F353" t="inlineStr">
        <is>
          <t>SKÅNE LÄN</t>
        </is>
      </c>
      <c r="G353" t="inlineStr">
        <is>
          <t>ÖSTRA GÖINGE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46318</v>
      </c>
      <c r="F354" t="inlineStr">
        <is>
          <t>SKÅNE LÄN</t>
        </is>
      </c>
      <c r="G354" t="inlineStr">
        <is>
          <t>ÖSTRA GÖINGE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71741-2021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44539</v>
      </c>
      <c r="E355" s="1" t="n">
        <v>46318</v>
      </c>
      <c r="F355" t="inlineStr">
        <is>
          <t>SKÅNE LÄN</t>
        </is>
      </c>
      <c r="G355" t="inlineStr">
        <is>
          <t>ÖSTRA GÖINGE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46287</v>
      </c>
      <c r="E356" s="1" t="n">
        <v>46318</v>
      </c>
      <c r="F356" t="inlineStr">
        <is>
          <t>SKÅNE LÄN</t>
        </is>
      </c>
      <c r="G356" t="inlineStr">
        <is>
          <t>ÖSTRA GÖINGE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45216</v>
      </c>
      <c r="E357" s="1" t="n">
        <v>46318</v>
      </c>
      <c r="F357" t="inlineStr">
        <is>
          <t>SKÅNE LÄN</t>
        </is>
      </c>
      <c r="G357" t="inlineStr">
        <is>
          <t>ÖSTRA GÖINGE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39585-2026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46289</v>
      </c>
      <c r="E358" s="1" t="n">
        <v>46318</v>
      </c>
      <c r="F358" t="inlineStr">
        <is>
          <t>SKÅNE LÄN</t>
        </is>
      </c>
      <c r="G358" t="inlineStr">
        <is>
          <t>ÖSTRA GÖINGE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60780-2022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44914</v>
      </c>
      <c r="E359" s="1" t="n">
        <v>46318</v>
      </c>
      <c r="F359" t="inlineStr">
        <is>
          <t>SKÅNE LÄN</t>
        </is>
      </c>
      <c r="G359" t="inlineStr">
        <is>
          <t>ÖSTRA GÖINGE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59359-2024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46318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46279-2024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45581</v>
      </c>
      <c r="E361" s="1" t="n">
        <v>46318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45331</v>
      </c>
      <c r="E362" s="1" t="n">
        <v>46318</v>
      </c>
      <c r="F362" t="inlineStr">
        <is>
          <t>SKÅNE LÄN</t>
        </is>
      </c>
      <c r="G362" t="inlineStr">
        <is>
          <t>ÖSTRA GÖINGE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47405-2022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44853</v>
      </c>
      <c r="E363" s="1" t="n">
        <v>46318</v>
      </c>
      <c r="F363" t="inlineStr">
        <is>
          <t>SKÅNE LÄN</t>
        </is>
      </c>
      <c r="G363" t="inlineStr">
        <is>
          <t>ÖSTRA GÖINGE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45069</v>
      </c>
      <c r="E364" s="1" t="n">
        <v>46318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46318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46318</v>
      </c>
      <c r="F366" t="inlineStr">
        <is>
          <t>SKÅNE LÄN</t>
        </is>
      </c>
      <c r="G366" t="inlineStr">
        <is>
          <t>ÖSTRA GÖINGE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46318</v>
      </c>
      <c r="F367" t="inlineStr">
        <is>
          <t>SKÅNE LÄN</t>
        </is>
      </c>
      <c r="G367" t="inlineStr">
        <is>
          <t>ÖSTRA GÖINGE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46318</v>
      </c>
      <c r="F368" t="inlineStr">
        <is>
          <t>SKÅNE LÄN</t>
        </is>
      </c>
      <c r="G368" t="inlineStr">
        <is>
          <t>ÖSTRA GÖINGE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46318</v>
      </c>
      <c r="F369" t="inlineStr">
        <is>
          <t>SKÅNE LÄN</t>
        </is>
      </c>
      <c r="G369" t="inlineStr">
        <is>
          <t>ÖSTRA GÖINGE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45562</v>
      </c>
      <c r="E370" s="1" t="n">
        <v>46318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46318</v>
      </c>
      <c r="F371" t="inlineStr">
        <is>
          <t>SKÅNE LÄN</t>
        </is>
      </c>
      <c r="G371" t="inlineStr">
        <is>
          <t>ÖSTRA GÖINGE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46318</v>
      </c>
      <c r="F372" t="inlineStr">
        <is>
          <t>SKÅNE LÄN</t>
        </is>
      </c>
      <c r="G372" t="inlineStr">
        <is>
          <t>ÖSTRA GÖINGE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46318</v>
      </c>
      <c r="F373" t="inlineStr">
        <is>
          <t>SKÅNE LÄN</t>
        </is>
      </c>
      <c r="G373" t="inlineStr">
        <is>
          <t>ÖSTRA GÖINGE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45569</v>
      </c>
      <c r="E374" s="1" t="n">
        <v>46318</v>
      </c>
      <c r="F374" t="inlineStr">
        <is>
          <t>SKÅNE LÄN</t>
        </is>
      </c>
      <c r="G374" t="inlineStr">
        <is>
          <t>ÖSTRA GÖINGE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45685</v>
      </c>
      <c r="E375" s="1" t="n">
        <v>46318</v>
      </c>
      <c r="F375" t="inlineStr">
        <is>
          <t>SKÅNE LÄN</t>
        </is>
      </c>
      <c r="G375" t="inlineStr">
        <is>
          <t>ÖSTRA GÖINGE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16743-2024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45410</v>
      </c>
      <c r="E376" s="1" t="n">
        <v>46318</v>
      </c>
      <c r="F376" t="inlineStr">
        <is>
          <t>SKÅNE LÄN</t>
        </is>
      </c>
      <c r="G376" t="inlineStr">
        <is>
          <t>ÖSTRA GÖINGE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46318</v>
      </c>
      <c r="F377" t="inlineStr">
        <is>
          <t>SKÅNE LÄN</t>
        </is>
      </c>
      <c r="G377" t="inlineStr">
        <is>
          <t>ÖSTRA GÖINGE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46297</v>
      </c>
      <c r="E378" s="1" t="n">
        <v>46318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40843-2023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45172</v>
      </c>
      <c r="E379" s="1" t="n">
        <v>46318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46318</v>
      </c>
      <c r="F380" t="inlineStr">
        <is>
          <t>SKÅNE LÄN</t>
        </is>
      </c>
      <c r="G380" t="inlineStr">
        <is>
          <t>ÖSTRA GÖINGE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45029</v>
      </c>
      <c r="E381" s="1" t="n">
        <v>46318</v>
      </c>
      <c r="F381" t="inlineStr">
        <is>
          <t>SKÅNE LÄN</t>
        </is>
      </c>
      <c r="G381" t="inlineStr">
        <is>
          <t>ÖSTRA GÖINGE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46318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44958</v>
      </c>
      <c r="E383" s="1" t="n">
        <v>46318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44852</v>
      </c>
      <c r="E384" s="1" t="n">
        <v>46318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45680</v>
      </c>
      <c r="E385" s="1" t="n">
        <v>46318</v>
      </c>
      <c r="F385" t="inlineStr">
        <is>
          <t>SKÅNE LÄN</t>
        </is>
      </c>
      <c r="G385" t="inlineStr">
        <is>
          <t>ÖSTRA GÖINGE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46318</v>
      </c>
      <c r="F386" t="inlineStr">
        <is>
          <t>SKÅNE LÄN</t>
        </is>
      </c>
      <c r="G386" t="inlineStr">
        <is>
          <t>ÖSTRA GÖINGE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37559-2024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46318</v>
      </c>
      <c r="F387" t="inlineStr">
        <is>
          <t>SKÅNE LÄN</t>
        </is>
      </c>
      <c r="G387" t="inlineStr">
        <is>
          <t>ÖSTRA GÖINGE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44606</v>
      </c>
      <c r="E388" s="1" t="n">
        <v>46318</v>
      </c>
      <c r="F388" t="inlineStr">
        <is>
          <t>SKÅNE LÄN</t>
        </is>
      </c>
      <c r="G388" t="inlineStr">
        <is>
          <t>ÖSTRA GÖINGE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45632</v>
      </c>
      <c r="E389" s="1" t="n">
        <v>46318</v>
      </c>
      <c r="F389" t="inlineStr">
        <is>
          <t>SKÅNE LÄN</t>
        </is>
      </c>
      <c r="G389" t="inlineStr">
        <is>
          <t>ÖSTRA GÖINGE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46318</v>
      </c>
      <c r="F390" t="inlineStr">
        <is>
          <t>SKÅNE LÄN</t>
        </is>
      </c>
      <c r="G390" t="inlineStr">
        <is>
          <t>ÖSTRA GÖINGE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46318</v>
      </c>
      <c r="F391" t="inlineStr">
        <is>
          <t>SKÅNE LÄN</t>
        </is>
      </c>
      <c r="G391" t="inlineStr">
        <is>
          <t>ÖSTRA GÖINGE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46318</v>
      </c>
      <c r="F392" t="inlineStr">
        <is>
          <t>SKÅNE LÄN</t>
        </is>
      </c>
      <c r="G392" t="inlineStr">
        <is>
          <t>ÖSTRA GÖINGE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46318</v>
      </c>
      <c r="F393" t="inlineStr">
        <is>
          <t>SKÅNE LÄN</t>
        </is>
      </c>
      <c r="G393" t="inlineStr">
        <is>
          <t>ÖSTRA GÖINGE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46299</v>
      </c>
      <c r="E394" s="1" t="n">
        <v>46318</v>
      </c>
      <c r="F394" t="inlineStr">
        <is>
          <t>SKÅNE LÄN</t>
        </is>
      </c>
      <c r="G394" t="inlineStr">
        <is>
          <t>ÖSTRA GÖINGE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45198</v>
      </c>
      <c r="E395" s="1" t="n">
        <v>46318</v>
      </c>
      <c r="F395" t="inlineStr">
        <is>
          <t>SKÅNE LÄN</t>
        </is>
      </c>
      <c r="G395" t="inlineStr">
        <is>
          <t>ÖSTRA GÖINGE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46318</v>
      </c>
      <c r="F396" t="inlineStr">
        <is>
          <t>SKÅNE LÄN</t>
        </is>
      </c>
      <c r="G396" t="inlineStr">
        <is>
          <t>ÖSTRA GÖINGE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46318</v>
      </c>
      <c r="F397" t="inlineStr">
        <is>
          <t>SKÅNE LÄN</t>
        </is>
      </c>
      <c r="G397" t="inlineStr">
        <is>
          <t>ÖSTRA GÖINGE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46318</v>
      </c>
      <c r="F398" t="inlineStr">
        <is>
          <t>SKÅNE LÄN</t>
        </is>
      </c>
      <c r="G398" t="inlineStr">
        <is>
          <t>ÖSTRA GÖINGE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45069</v>
      </c>
      <c r="E399" s="1" t="n">
        <v>46318</v>
      </c>
      <c r="F399" t="inlineStr">
        <is>
          <t>SKÅNE LÄN</t>
        </is>
      </c>
      <c r="G399" t="inlineStr">
        <is>
          <t>ÖSTRA GÖINGE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69383-2021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44531</v>
      </c>
      <c r="E400" s="1" t="n">
        <v>46318</v>
      </c>
      <c r="F400" t="inlineStr">
        <is>
          <t>SKÅNE LÄN</t>
        </is>
      </c>
      <c r="G400" t="inlineStr">
        <is>
          <t>ÖSTRA GÖINGE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69390-2021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44531</v>
      </c>
      <c r="E401" s="1" t="n">
        <v>46318</v>
      </c>
      <c r="F401" t="inlineStr">
        <is>
          <t>SKÅNE LÄN</t>
        </is>
      </c>
      <c r="G401" t="inlineStr">
        <is>
          <t>ÖSTRA GÖINGE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44918</v>
      </c>
      <c r="E402" s="1" t="n">
        <v>46318</v>
      </c>
      <c r="F402" t="inlineStr">
        <is>
          <t>SKÅNE LÄN</t>
        </is>
      </c>
      <c r="G402" t="inlineStr">
        <is>
          <t>ÖSTRA GÖINGE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45156</v>
      </c>
      <c r="E403" s="1" t="n">
        <v>46318</v>
      </c>
      <c r="F403" t="inlineStr">
        <is>
          <t>SKÅNE LÄN</t>
        </is>
      </c>
      <c r="G403" t="inlineStr">
        <is>
          <t>ÖSTRA GÖINGE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64181-2023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45279</v>
      </c>
      <c r="E404" s="1" t="n">
        <v>46318</v>
      </c>
      <c r="F404" t="inlineStr">
        <is>
          <t>SKÅNE LÄN</t>
        </is>
      </c>
      <c r="G404" t="inlineStr">
        <is>
          <t>ÖSTRA GÖINGE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34840-2026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46258</v>
      </c>
      <c r="E405" s="1" t="n">
        <v>46318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45622</v>
      </c>
      <c r="E406" s="1" t="n">
        <v>46318</v>
      </c>
      <c r="F406" t="inlineStr">
        <is>
          <t>SKÅNE LÄN</t>
        </is>
      </c>
      <c r="G406" t="inlineStr">
        <is>
          <t>ÖSTRA GÖINGE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46304</v>
      </c>
      <c r="E407" s="1" t="n">
        <v>46318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46318</v>
      </c>
      <c r="F408" t="inlineStr">
        <is>
          <t>SKÅNE LÄN</t>
        </is>
      </c>
      <c r="G408" t="inlineStr">
        <is>
          <t>ÖSTRA GÖINGE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45105</v>
      </c>
      <c r="E409" s="1" t="n">
        <v>46318</v>
      </c>
      <c r="F409" t="inlineStr">
        <is>
          <t>SKÅNE LÄN</t>
        </is>
      </c>
      <c r="G409" t="inlineStr">
        <is>
          <t>ÖSTRA GÖINGE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44956</v>
      </c>
      <c r="E410" s="1" t="n">
        <v>46318</v>
      </c>
      <c r="F410" t="inlineStr">
        <is>
          <t>SKÅNE LÄN</t>
        </is>
      </c>
      <c r="G410" t="inlineStr">
        <is>
          <t>ÖSTRA GÖINGE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46307</v>
      </c>
      <c r="E411" s="1" t="n">
        <v>46318</v>
      </c>
      <c r="F411" t="inlineStr">
        <is>
          <t>SKÅNE LÄN</t>
        </is>
      </c>
      <c r="G411" t="inlineStr">
        <is>
          <t>ÖSTRA GÖINGE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44935</v>
      </c>
      <c r="E412" s="1" t="n">
        <v>46318</v>
      </c>
      <c r="F412" t="inlineStr">
        <is>
          <t>SKÅNE LÄN</t>
        </is>
      </c>
      <c r="G412" t="inlineStr">
        <is>
          <t>ÖSTRA GÖINGE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46308</v>
      </c>
      <c r="E413" s="1" t="n">
        <v>46318</v>
      </c>
      <c r="F413" t="inlineStr">
        <is>
          <t>SKÅNE LÄN</t>
        </is>
      </c>
      <c r="G413" t="inlineStr">
        <is>
          <t>ÖSTRA GÖINGE</t>
        </is>
      </c>
      <c r="I413" t="n">
        <v>9.5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46318</v>
      </c>
      <c r="F414" t="inlineStr">
        <is>
          <t>SKÅNE LÄN</t>
        </is>
      </c>
      <c r="G414" t="inlineStr">
        <is>
          <t>ÖSTRA GÖINGE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46318</v>
      </c>
      <c r="F415" t="inlineStr">
        <is>
          <t>SKÅNE LÄN</t>
        </is>
      </c>
      <c r="G415" t="inlineStr">
        <is>
          <t>ÖSTRA GÖINGE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46318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45146</v>
      </c>
      <c r="E417" s="1" t="n">
        <v>46318</v>
      </c>
      <c r="F417" t="inlineStr">
        <is>
          <t>SKÅNE LÄN</t>
        </is>
      </c>
      <c r="G417" t="inlineStr">
        <is>
          <t>ÖSTRA GÖINGE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45209</v>
      </c>
      <c r="E418" s="1" t="n">
        <v>46318</v>
      </c>
      <c r="F418" t="inlineStr">
        <is>
          <t>SKÅNE LÄN</t>
        </is>
      </c>
      <c r="G418" t="inlineStr">
        <is>
          <t>ÖSTRA GÖINGE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44873</v>
      </c>
      <c r="E419" s="1" t="n">
        <v>46318</v>
      </c>
      <c r="F419" t="inlineStr">
        <is>
          <t>SKÅNE LÄN</t>
        </is>
      </c>
      <c r="G419" t="inlineStr">
        <is>
          <t>ÖSTRA GÖINGE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46318</v>
      </c>
      <c r="F420" t="inlineStr">
        <is>
          <t>SKÅNE LÄN</t>
        </is>
      </c>
      <c r="G420" t="inlineStr">
        <is>
          <t>ÖSTRA GÖINGE</t>
        </is>
      </c>
      <c r="H420" t="inlineStr">
        <is>
          <t>Sveaskog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46318</v>
      </c>
      <c r="F421" t="inlineStr">
        <is>
          <t>SKÅNE LÄN</t>
        </is>
      </c>
      <c r="G421" t="inlineStr">
        <is>
          <t>ÖSTRA GÖINGE</t>
        </is>
      </c>
      <c r="H421" t="inlineStr">
        <is>
          <t>Sveaskog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45408</v>
      </c>
      <c r="E422" s="1" t="n">
        <v>46318</v>
      </c>
      <c r="F422" t="inlineStr">
        <is>
          <t>SKÅNE LÄN</t>
        </is>
      </c>
      <c r="G422" t="inlineStr">
        <is>
          <t>ÖSTRA GÖINGE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46318</v>
      </c>
      <c r="F423" t="inlineStr">
        <is>
          <t>SKÅNE LÄN</t>
        </is>
      </c>
      <c r="G423" t="inlineStr">
        <is>
          <t>ÖSTRA GÖINGE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45139</v>
      </c>
      <c r="E424" s="1" t="n">
        <v>46318</v>
      </c>
      <c r="F424" t="inlineStr">
        <is>
          <t>SKÅNE LÄN</t>
        </is>
      </c>
      <c r="G424" t="inlineStr">
        <is>
          <t>ÖSTRA GÖINGE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46318</v>
      </c>
      <c r="F425" t="inlineStr">
        <is>
          <t>SKÅNE LÄN</t>
        </is>
      </c>
      <c r="G425" t="inlineStr">
        <is>
          <t>ÖSTRA GÖINGE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46318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44937</v>
      </c>
      <c r="E427" s="1" t="n">
        <v>46318</v>
      </c>
      <c r="F427" t="inlineStr">
        <is>
          <t>SKÅNE LÄN</t>
        </is>
      </c>
      <c r="G427" t="inlineStr">
        <is>
          <t>ÖSTRA GÖINGE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66526-2021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44519</v>
      </c>
      <c r="E428" s="1" t="n">
        <v>46318</v>
      </c>
      <c r="F428" t="inlineStr">
        <is>
          <t>SKÅNE LÄN</t>
        </is>
      </c>
      <c r="G428" t="inlineStr">
        <is>
          <t>ÖSTRA GÖINGE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44929</v>
      </c>
      <c r="E429" s="1" t="n">
        <v>46318</v>
      </c>
      <c r="F429" t="inlineStr">
        <is>
          <t>SKÅNE LÄN</t>
        </is>
      </c>
      <c r="G429" t="inlineStr">
        <is>
          <t>ÖSTRA GÖINGE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46318</v>
      </c>
      <c r="F430" t="inlineStr">
        <is>
          <t>SKÅNE LÄN</t>
        </is>
      </c>
      <c r="G430" t="inlineStr">
        <is>
          <t>ÖSTRA GÖINGE</t>
        </is>
      </c>
      <c r="I430" t="n">
        <v>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13140-2024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45386</v>
      </c>
      <c r="E431" s="1" t="n">
        <v>46318</v>
      </c>
      <c r="F431" t="inlineStr">
        <is>
          <t>SKÅNE LÄN</t>
        </is>
      </c>
      <c r="G431" t="inlineStr">
        <is>
          <t>ÖSTRA GÖINGE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44686</v>
      </c>
      <c r="E432" s="1" t="n">
        <v>46318</v>
      </c>
      <c r="F432" t="inlineStr">
        <is>
          <t>SKÅNE LÄN</t>
        </is>
      </c>
      <c r="G432" t="inlineStr">
        <is>
          <t>ÖSTRA GÖINGE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45435</v>
      </c>
      <c r="E433" s="1" t="n">
        <v>46318</v>
      </c>
      <c r="F433" t="inlineStr">
        <is>
          <t>SKÅNE LÄN</t>
        </is>
      </c>
      <c r="G433" t="inlineStr">
        <is>
          <t>ÖSTRA GÖINGE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45091</v>
      </c>
      <c r="E434" s="1" t="n">
        <v>46318</v>
      </c>
      <c r="F434" t="inlineStr">
        <is>
          <t>SKÅNE LÄN</t>
        </is>
      </c>
      <c r="G434" t="inlineStr">
        <is>
          <t>ÖSTRA GÖINGE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46318</v>
      </c>
      <c r="F435" t="inlineStr">
        <is>
          <t>SKÅNE LÄN</t>
        </is>
      </c>
      <c r="G435" t="inlineStr">
        <is>
          <t>ÖSTRA GÖINGE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42192-2023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45179</v>
      </c>
      <c r="E436" s="1" t="n">
        <v>46318</v>
      </c>
      <c r="F436" t="inlineStr">
        <is>
          <t>SKÅNE LÄN</t>
        </is>
      </c>
      <c r="G436" t="inlineStr">
        <is>
          <t>ÖSTRA GÖINGE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45029</v>
      </c>
      <c r="E437" s="1" t="n">
        <v>46318</v>
      </c>
      <c r="F437" t="inlineStr">
        <is>
          <t>SKÅNE LÄN</t>
        </is>
      </c>
      <c r="G437" t="inlineStr">
        <is>
          <t>ÖSTRA GÖINGE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60251-2022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44910</v>
      </c>
      <c r="E438" s="1" t="n">
        <v>46318</v>
      </c>
      <c r="F438" t="inlineStr">
        <is>
          <t>SKÅNE LÄN</t>
        </is>
      </c>
      <c r="G438" t="inlineStr">
        <is>
          <t>ÖSTRA GÖINGE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46318</v>
      </c>
      <c r="F439" t="inlineStr">
        <is>
          <t>SKÅNE LÄN</t>
        </is>
      </c>
      <c r="G439" t="inlineStr">
        <is>
          <t>ÖSTRA GÖINGE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44826</v>
      </c>
      <c r="E440" s="1" t="n">
        <v>46318</v>
      </c>
      <c r="F440" t="inlineStr">
        <is>
          <t>SKÅNE LÄN</t>
        </is>
      </c>
      <c r="G440" t="inlineStr">
        <is>
          <t>ÖSTRA GÖINGE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45141</v>
      </c>
      <c r="E441" s="1" t="n">
        <v>46318</v>
      </c>
      <c r="F441" t="inlineStr">
        <is>
          <t>SKÅNE LÄN</t>
        </is>
      </c>
      <c r="G441" t="inlineStr">
        <is>
          <t>ÖSTRA GÖINGE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45321</v>
      </c>
      <c r="E442" s="1" t="n">
        <v>46318</v>
      </c>
      <c r="F442" t="inlineStr">
        <is>
          <t>SKÅNE LÄN</t>
        </is>
      </c>
      <c r="G442" t="inlineStr">
        <is>
          <t>ÖSTRA GÖINGE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7739-2024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45349</v>
      </c>
      <c r="E443" s="1" t="n">
        <v>46318</v>
      </c>
      <c r="F443" t="inlineStr">
        <is>
          <t>SKÅNE LÄN</t>
        </is>
      </c>
      <c r="G443" t="inlineStr">
        <is>
          <t>ÖSTRA GÖINGE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9537-2023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46318</v>
      </c>
      <c r="F444" t="inlineStr">
        <is>
          <t>SKÅNE LÄN</t>
        </is>
      </c>
      <c r="G444" t="inlineStr">
        <is>
          <t>ÖSTRA GÖINGE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46318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45483</v>
      </c>
      <c r="E446" s="1" t="n">
        <v>46318</v>
      </c>
      <c r="F446" t="inlineStr">
        <is>
          <t>SKÅNE LÄN</t>
        </is>
      </c>
      <c r="G446" t="inlineStr">
        <is>
          <t>ÖSTRA GÖINGE</t>
        </is>
      </c>
      <c r="I446" t="n">
        <v>7.7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45301</v>
      </c>
      <c r="E447" s="1" t="n">
        <v>46318</v>
      </c>
      <c r="F447" t="inlineStr">
        <is>
          <t>SKÅNE LÄN</t>
        </is>
      </c>
      <c r="G447" t="inlineStr">
        <is>
          <t>ÖSTRA GÖINGE</t>
        </is>
      </c>
      <c r="I447" t="n">
        <v>53.6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2502-2023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45124</v>
      </c>
      <c r="E448" s="1" t="n">
        <v>46318</v>
      </c>
      <c r="F448" t="inlineStr">
        <is>
          <t>SKÅNE LÄN</t>
        </is>
      </c>
      <c r="G448" t="inlineStr">
        <is>
          <t>ÖSTRA GÖINGE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46318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46318</v>
      </c>
      <c r="F450" t="inlineStr">
        <is>
          <t>SKÅNE LÄN</t>
        </is>
      </c>
      <c r="G450" t="inlineStr">
        <is>
          <t>ÖSTRA GÖINGE</t>
        </is>
      </c>
      <c r="I450" t="n">
        <v>43.3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46318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46318</v>
      </c>
      <c r="F452" t="inlineStr">
        <is>
          <t>SKÅNE LÄN</t>
        </is>
      </c>
      <c r="G452" t="inlineStr">
        <is>
          <t>ÖSTRA GÖINGE</t>
        </is>
      </c>
      <c r="I452" t="n">
        <v>19.2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642-2023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44973</v>
      </c>
      <c r="E453" s="1" t="n">
        <v>46318</v>
      </c>
      <c r="F453" t="inlineStr">
        <is>
          <t>SKÅNE LÄN</t>
        </is>
      </c>
      <c r="G453" t="inlineStr">
        <is>
          <t>ÖSTRA GÖINGE</t>
        </is>
      </c>
      <c r="I453" t="n">
        <v>20.4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573-2024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46318</v>
      </c>
      <c r="F454" t="inlineStr">
        <is>
          <t>SKÅNE LÄN</t>
        </is>
      </c>
      <c r="G454" t="inlineStr">
        <is>
          <t>ÖSTRA GÖINGE</t>
        </is>
      </c>
      <c r="I454" t="n">
        <v>24.3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3997-2024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45569</v>
      </c>
      <c r="E455" s="1" t="n">
        <v>46318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46318</v>
      </c>
      <c r="F456" t="inlineStr">
        <is>
          <t>SKÅNE LÄN</t>
        </is>
      </c>
      <c r="G456" t="inlineStr">
        <is>
          <t>ÖSTRA GÖINGE</t>
        </is>
      </c>
      <c r="I456" t="n">
        <v>21.2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46318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46318</v>
      </c>
      <c r="F458" t="inlineStr">
        <is>
          <t>SKÅNE LÄN</t>
        </is>
      </c>
      <c r="G458" t="inlineStr">
        <is>
          <t>ÖSTRA GÖINGE</t>
        </is>
      </c>
      <c r="I458" t="n">
        <v>35.3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2465-2024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45470</v>
      </c>
      <c r="E459" s="1" t="n">
        <v>46318</v>
      </c>
      <c r="F459" t="inlineStr">
        <is>
          <t>SKÅNE LÄN</t>
        </is>
      </c>
      <c r="G459" t="inlineStr">
        <is>
          <t>ÖSTRA GÖINGE</t>
        </is>
      </c>
      <c r="I459" t="n">
        <v>36.3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3114-2023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45182</v>
      </c>
      <c r="E460" s="1" t="n">
        <v>46318</v>
      </c>
      <c r="F460" t="inlineStr">
        <is>
          <t>SKÅNE LÄN</t>
        </is>
      </c>
      <c r="G460" t="inlineStr">
        <is>
          <t>ÖSTRA GÖINGE</t>
        </is>
      </c>
      <c r="I460" t="n">
        <v>17.1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2602-2022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44698</v>
      </c>
      <c r="E461" s="1" t="n">
        <v>46318</v>
      </c>
      <c r="F461" t="inlineStr">
        <is>
          <t>SKÅNE LÄN</t>
        </is>
      </c>
      <c r="G461" t="inlineStr">
        <is>
          <t>ÖSTRA GÖINGE</t>
        </is>
      </c>
      <c r="I461" t="n">
        <v>18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46318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46318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46318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2143-2022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44676</v>
      </c>
      <c r="E465" s="1" t="n">
        <v>46318</v>
      </c>
      <c r="F465" t="inlineStr">
        <is>
          <t>SKÅNE LÄN</t>
        </is>
      </c>
      <c r="G465" t="inlineStr">
        <is>
          <t>ÖSTRA GÖINGE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444-2022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46318</v>
      </c>
      <c r="F466" t="inlineStr">
        <is>
          <t>SKÅNE LÄN</t>
        </is>
      </c>
      <c r="G466" t="inlineStr">
        <is>
          <t>ÖSTRA GÖINGE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46318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46318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46318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46318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46318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46318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46318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46318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46318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46318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46318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46318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46318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46318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46318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46318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46318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46318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46318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46318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46318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2026-10-23T02:00:02Z</dcterms:created>
  <dcterms:modified xmlns:dcterms="http://purl.org/dc/terms/" xmlns:xsi="http://www.w3.org/2001/XMLSchema-instance" xsi:type="dcterms:W3CDTF">2026-10-23T02:00:02Z</dcterms:modified>
</cp:coreProperties>
</file>