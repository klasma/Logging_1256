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46271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46271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46271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46271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46271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46271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46271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t="n">
        <v>0</v>
      </c>
      <c r="V14" s="2" t="inlineStr">
        <is>
          <t>Fällmossa
Klippfrullania
Västlig hakmossa</t>
        </is>
      </c>
      <c r="W14">
        <f>HYPERLINK("https://klasma.github.io/Logging_1256/artfynd/S 2860-2024 artfynd.xlsx", "S 2860-2024")</f>
        <v/>
      </c>
      <c r="X14">
        <f>HYPERLINK("https://klasma.github.io/Logging_1256/kartor/S 2860-2024 karta.png", "S 2860-2024")</f>
        <v/>
      </c>
      <c r="Y14">
        <f>HYPERLINK("https://klasma.github.io/Logging_1256/kartor_geotiff/S 2860-2024 georefererad karta.tif", "S 2860-2024")</f>
        <v/>
      </c>
      <c r="AA14">
        <f>HYPERLINK("https://klasma.github.io/Logging_1256/klagomål/S 2860-2024 FSC-klagomål.docx", "S 2860-2024")</f>
        <v/>
      </c>
      <c r="AB14">
        <f>HYPERLINK("https://klasma.github.io/Logging_1256/klagomålsmail/S 2860-2024 FSC-klagomål mail.docx", "S 2860-2024")</f>
        <v/>
      </c>
      <c r="AC14">
        <f>HYPERLINK("https://klasma.github.io/Logging_1256/tillsyn/S 2860-2024 tillsynsbegäran.docx", "S 2860-2024")</f>
        <v/>
      </c>
      <c r="AD14">
        <f>HYPERLINK("https://klasma.github.io/Logging_1256/tillsynsmail/S 2860-2024 tillsynsbegäran mail.docx", "S 2860-2024")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46271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Bokvårtlav
Havstulpanlav
Västlig hakmossa</t>
        </is>
      </c>
      <c r="W15">
        <f>HYPERLINK("https://klasma.github.io/Logging_1256/artfynd/S 378-2024 artfynd.xlsx", "S 378-2024")</f>
        <v/>
      </c>
      <c r="X15">
        <f>HYPERLINK("https://klasma.github.io/Logging_1256/kartor/S 378-2024 karta.png", "S 378-2024")</f>
        <v/>
      </c>
      <c r="Y15">
        <f>HYPERLINK("https://klasma.github.io/Logging_1256/kartor_geotiff/S 378-2024 georefererad karta.tif", "S 378-2024")</f>
        <v/>
      </c>
      <c r="AA15">
        <f>HYPERLINK("https://klasma.github.io/Logging_1256/klagomål/S 378-2024 FSC-klagomål.docx", "S 378-2024")</f>
        <v/>
      </c>
      <c r="AB15">
        <f>HYPERLINK("https://klasma.github.io/Logging_1256/klagomålsmail/S 378-2024 FSC-klagomål mail.docx", "S 378-2024")</f>
        <v/>
      </c>
      <c r="AC15">
        <f>HYPERLINK("https://klasma.github.io/Logging_1256/tillsyn/S 378-2024 tillsynsbegäran.docx", "S 378-2024")</f>
        <v/>
      </c>
      <c r="AD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46271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Barkkornlav
Fällmossa
Rostfläck</t>
        </is>
      </c>
      <c r="W16">
        <f>HYPERLINK("https://klasma.github.io/Logging_1256/artfynd/S 2831-2023 artfynd.xlsx", "S 2831-2023")</f>
        <v/>
      </c>
      <c r="X16">
        <f>HYPERLINK("https://klasma.github.io/Logging_1256/kartor/S 2831-2023 karta.png", "S 2831-2023")</f>
        <v/>
      </c>
      <c r="Y16">
        <f>HYPERLINK("https://klasma.github.io/Logging_1256/kartor_geotiff/S 2831-2023 georefererad karta.tif", "S 2831-2023")</f>
        <v/>
      </c>
      <c r="AA16">
        <f>HYPERLINK("https://klasma.github.io/Logging_1256/klagomål/S 2831-2023 FSC-klagomål.docx", "S 2831-2023")</f>
        <v/>
      </c>
      <c r="AB16">
        <f>HYPERLINK("https://klasma.github.io/Logging_1256/klagomålsmail/S 2831-2023 FSC-klagomål mail.docx", "S 2831-2023")</f>
        <v/>
      </c>
      <c r="AC16">
        <f>HYPERLINK("https://klasma.github.io/Logging_1256/tillsyn/S 2831-2023 tillsynsbegäran.docx", "S 2831-2023")</f>
        <v/>
      </c>
      <c r="AD16">
        <f>HYPERLINK("https://klasma.github.io/Logging_1256/tillsynsmail/S 2831-2023 tillsynsbegäran mail.docx", "S 2831-2023")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46271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46271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46271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46271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46271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46271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46271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46271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46271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46271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37585-2024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46271</v>
      </c>
      <c r="F27" t="inlineStr">
        <is>
          <t>SKÅNE LÄN</t>
        </is>
      </c>
      <c r="G27" t="inlineStr">
        <is>
          <t>ÖSTRA GÖINGE</t>
        </is>
      </c>
      <c r="I27" t="n">
        <v>22.7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Gullklöver
Fläcknycklar</t>
        </is>
      </c>
      <c r="W27">
        <f>HYPERLINK("https://klasma.github.io/Logging_1256/artfynd/A 37585-2024 artfynd.xlsx", "A 37585-2024")</f>
        <v/>
      </c>
      <c r="X27">
        <f>HYPERLINK("https://klasma.github.io/Logging_1256/kartor/A 37585-2024 karta.png", "A 37585-2024")</f>
        <v/>
      </c>
      <c r="Y27">
        <f>HYPERLINK("https://klasma.github.io/Logging_1256/kartor_geotiff/A 37585-2024 georefererad karta.tif", "A 37585-2024")</f>
        <v/>
      </c>
      <c r="AA27">
        <f>HYPERLINK("https://klasma.github.io/Logging_1256/klagomål/A 37585-2024 FSC-klagomål.docx", "A 37585-2024")</f>
        <v/>
      </c>
      <c r="AB27">
        <f>HYPERLINK("https://klasma.github.io/Logging_1256/klagomålsmail/A 37585-2024 FSC-klagomål mail.docx", "A 37585-2024")</f>
        <v/>
      </c>
      <c r="AC27">
        <f>HYPERLINK("https://klasma.github.io/Logging_1256/tillsyn/A 37585-2024 tillsynsbegäran.docx", "A 37585-2024")</f>
        <v/>
      </c>
      <c r="AD27">
        <f>HYPERLINK("https://klasma.github.io/Logging_1256/tillsynsmail/A 37585-2024 tillsynsbegäran mail.docx", "A 37585-2024")</f>
        <v/>
      </c>
    </row>
    <row r="28" ht="15" customHeight="1">
      <c r="A28" t="inlineStr">
        <is>
          <t>A 34389-2024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45525</v>
      </c>
      <c r="E28" s="1" t="n">
        <v>46271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Pulverädellav
Havstulpanlav</t>
        </is>
      </c>
      <c r="W28">
        <f>HYPERLINK("https://klasma.github.io/Logging_1256/artfynd/A 34389-2024 artfynd.xlsx", "A 34389-2024")</f>
        <v/>
      </c>
      <c r="X28">
        <f>HYPERLINK("https://klasma.github.io/Logging_1256/kartor/A 34389-2024 karta.png", "A 34389-2024")</f>
        <v/>
      </c>
      <c r="Y28">
        <f>HYPERLINK("https://klasma.github.io/Logging_1256/kartor_geotiff/A 34389-2024 georefererad karta.tif", "A 34389-2024")</f>
        <v/>
      </c>
      <c r="AA28">
        <f>HYPERLINK("https://klasma.github.io/Logging_1256/klagomål/A 34389-2024 FSC-klagomål.docx", "A 34389-2024")</f>
        <v/>
      </c>
      <c r="AB28">
        <f>HYPERLINK("https://klasma.github.io/Logging_1256/klagomålsmail/A 34389-2024 FSC-klagomål mail.docx", "A 34389-2024")</f>
        <v/>
      </c>
      <c r="AC28">
        <f>HYPERLINK("https://klasma.github.io/Logging_1256/tillsyn/A 34389-2024 tillsynsbegäran.docx", "A 34389-2024")</f>
        <v/>
      </c>
      <c r="AD28">
        <f>HYPERLINK("https://klasma.github.io/Logging_1256/tillsynsmail/A 34389-2024 tillsynsbegäran mail.docx", "A 34389-2024")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46271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46271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46271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46271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46271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46271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46271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46271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46271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46271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46271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46271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46271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46271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46271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46271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46271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46271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46271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46271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46271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46271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46271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46271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46271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46271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46271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46271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46271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46271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46271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46271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46271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46271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46271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46271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46271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46271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46271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46271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46271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46271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46271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46271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46271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46271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46271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46271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46271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46271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46271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46271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46271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46271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46271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46271</v>
      </c>
      <c r="F113" t="inlineStr">
        <is>
          <t>SKÅNE LÄN</t>
        </is>
      </c>
      <c r="G113" t="inlineStr">
        <is>
          <t>ÖSTRA GÖINGE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46271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46271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46271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46271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46271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46271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46271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46271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46271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46271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46271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46271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46271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46271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46271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45674</v>
      </c>
      <c r="E129" s="1" t="n">
        <v>46271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46271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46271</v>
      </c>
      <c r="F131" t="inlineStr">
        <is>
          <t>SKÅNE LÄN</t>
        </is>
      </c>
      <c r="G131" t="inlineStr">
        <is>
          <t>ÖSTRA GÖINGE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46271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46271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46271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46271</v>
      </c>
      <c r="F135" t="inlineStr">
        <is>
          <t>SKÅNE LÄN</t>
        </is>
      </c>
      <c r="G135" t="inlineStr">
        <is>
          <t>ÖSTRA GÖINGE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46271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46271</v>
      </c>
      <c r="F137" t="inlineStr">
        <is>
          <t>SKÅNE LÄN</t>
        </is>
      </c>
      <c r="G137" t="inlineStr">
        <is>
          <t>ÖSTRA GÖINGE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46271</v>
      </c>
      <c r="F138" t="inlineStr">
        <is>
          <t>SKÅNE LÄN</t>
        </is>
      </c>
      <c r="G138" t="inlineStr">
        <is>
          <t>ÖSTRA GÖINGE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46271</v>
      </c>
      <c r="F139" t="inlineStr">
        <is>
          <t>SKÅNE LÄN</t>
        </is>
      </c>
      <c r="G139" t="inlineStr">
        <is>
          <t>ÖSTRA GÖINGE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46271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46271</v>
      </c>
      <c r="F141" t="inlineStr">
        <is>
          <t>SKÅNE LÄN</t>
        </is>
      </c>
      <c r="G141" t="inlineStr">
        <is>
          <t>ÖSTRA GÖINGE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46271</v>
      </c>
      <c r="F142" t="inlineStr">
        <is>
          <t>SKÅNE LÄN</t>
        </is>
      </c>
      <c r="G142" t="inlineStr">
        <is>
          <t>ÖSTRA GÖINGE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46271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46271</v>
      </c>
      <c r="F144" t="inlineStr">
        <is>
          <t>SKÅNE LÄN</t>
        </is>
      </c>
      <c r="G144" t="inlineStr">
        <is>
          <t>ÖSTRA GÖINGE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46271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46271</v>
      </c>
      <c r="F146" t="inlineStr">
        <is>
          <t>SKÅNE LÄN</t>
        </is>
      </c>
      <c r="G146" t="inlineStr">
        <is>
          <t>ÖSTRA GÖINGE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46271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46271</v>
      </c>
      <c r="F148" t="inlineStr">
        <is>
          <t>SKÅNE LÄN</t>
        </is>
      </c>
      <c r="G148" t="inlineStr">
        <is>
          <t>ÖSTRA GÖINGE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46271</v>
      </c>
      <c r="F149" t="inlineStr">
        <is>
          <t>SKÅNE LÄN</t>
        </is>
      </c>
      <c r="G149" t="inlineStr">
        <is>
          <t>ÖSTRA GÖINGE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46271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46271</v>
      </c>
      <c r="F151" t="inlineStr">
        <is>
          <t>SKÅNE LÄN</t>
        </is>
      </c>
      <c r="G151" t="inlineStr">
        <is>
          <t>ÖSTRA GÖINGE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46271</v>
      </c>
      <c r="F152" t="inlineStr">
        <is>
          <t>SKÅNE LÄN</t>
        </is>
      </c>
      <c r="G152" t="inlineStr">
        <is>
          <t>ÖSTRA GÖINGE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46271</v>
      </c>
      <c r="F153" t="inlineStr">
        <is>
          <t>SKÅNE LÄN</t>
        </is>
      </c>
      <c r="G153" t="inlineStr">
        <is>
          <t>ÖSTRA GÖINGE</t>
        </is>
      </c>
      <c r="H153" t="inlineStr">
        <is>
          <t>Kyrkan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36324-2022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44803</v>
      </c>
      <c r="E154" s="1" t="n">
        <v>46271</v>
      </c>
      <c r="F154" t="inlineStr">
        <is>
          <t>SKÅNE LÄN</t>
        </is>
      </c>
      <c r="G154" t="inlineStr">
        <is>
          <t>ÖSTRA GÖINGE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46271</v>
      </c>
      <c r="F155" t="inlineStr">
        <is>
          <t>SKÅNE LÄN</t>
        </is>
      </c>
      <c r="G155" t="inlineStr">
        <is>
          <t>ÖSTRA GÖINGE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46271</v>
      </c>
      <c r="F156" t="inlineStr">
        <is>
          <t>SKÅNE LÄN</t>
        </is>
      </c>
      <c r="G156" t="inlineStr">
        <is>
          <t>ÖSTRA GÖINGE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46271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46271</v>
      </c>
      <c r="F158" t="inlineStr">
        <is>
          <t>SKÅNE LÄN</t>
        </is>
      </c>
      <c r="G158" t="inlineStr">
        <is>
          <t>ÖSTRA GÖINGE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46271</v>
      </c>
      <c r="F159" t="inlineStr">
        <is>
          <t>SKÅNE LÄN</t>
        </is>
      </c>
      <c r="G159" t="inlineStr">
        <is>
          <t>ÖSTRA GÖINGE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46271</v>
      </c>
      <c r="F160" t="inlineStr">
        <is>
          <t>SKÅNE LÄN</t>
        </is>
      </c>
      <c r="G160" t="inlineStr">
        <is>
          <t>ÖSTRA GÖINGE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46271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46271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46271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46271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46271</v>
      </c>
      <c r="F165" t="inlineStr">
        <is>
          <t>SKÅNE LÄN</t>
        </is>
      </c>
      <c r="G165" t="inlineStr">
        <is>
          <t>ÖSTRA GÖINGE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45539</v>
      </c>
      <c r="E166" s="1" t="n">
        <v>46271</v>
      </c>
      <c r="F166" t="inlineStr">
        <is>
          <t>SKÅNE LÄN</t>
        </is>
      </c>
      <c r="G166" t="inlineStr">
        <is>
          <t>ÖSTRA GÖINGE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46271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46271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46271</v>
      </c>
      <c r="F169" t="inlineStr">
        <is>
          <t>SKÅNE LÄN</t>
        </is>
      </c>
      <c r="G169" t="inlineStr">
        <is>
          <t>ÖSTRA GÖINGE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46271</v>
      </c>
      <c r="F170" t="inlineStr">
        <is>
          <t>SKÅNE LÄN</t>
        </is>
      </c>
      <c r="G170" t="inlineStr">
        <is>
          <t>ÖSTRA GÖINGE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46271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46271</v>
      </c>
      <c r="F172" t="inlineStr">
        <is>
          <t>SKÅNE LÄN</t>
        </is>
      </c>
      <c r="G172" t="inlineStr">
        <is>
          <t>ÖSTRA GÖINGE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46271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45227</v>
      </c>
      <c r="E174" s="1" t="n">
        <v>46271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46271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46271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46271</v>
      </c>
      <c r="F177" t="inlineStr">
        <is>
          <t>SKÅNE LÄN</t>
        </is>
      </c>
      <c r="G177" t="inlineStr">
        <is>
          <t>ÖSTRA GÖINGE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46271</v>
      </c>
      <c r="F178" t="inlineStr">
        <is>
          <t>SKÅNE LÄN</t>
        </is>
      </c>
      <c r="G178" t="inlineStr">
        <is>
          <t>ÖSTRA GÖINGE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46271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45848</v>
      </c>
      <c r="E180" s="1" t="n">
        <v>46271</v>
      </c>
      <c r="F180" t="inlineStr">
        <is>
          <t>SKÅNE LÄN</t>
        </is>
      </c>
      <c r="G180" t="inlineStr">
        <is>
          <t>ÖSTRA GÖINGE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46271</v>
      </c>
      <c r="F181" t="inlineStr">
        <is>
          <t>SKÅNE LÄN</t>
        </is>
      </c>
      <c r="G181" t="inlineStr">
        <is>
          <t>ÖSTRA GÖINGE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46271</v>
      </c>
      <c r="F182" t="inlineStr">
        <is>
          <t>SKÅNE LÄN</t>
        </is>
      </c>
      <c r="G182" t="inlineStr">
        <is>
          <t>ÖSTRA GÖINGE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46271</v>
      </c>
      <c r="F183" t="inlineStr">
        <is>
          <t>SKÅNE LÄN</t>
        </is>
      </c>
      <c r="G183" t="inlineStr">
        <is>
          <t>ÖSTRA GÖINGE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45935</v>
      </c>
      <c r="E184" s="1" t="n">
        <v>46271</v>
      </c>
      <c r="F184" t="inlineStr">
        <is>
          <t>SKÅNE LÄN</t>
        </is>
      </c>
      <c r="G184" t="inlineStr">
        <is>
          <t>ÖSTRA GÖINGE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46271</v>
      </c>
      <c r="F185" t="inlineStr">
        <is>
          <t>SKÅNE LÄN</t>
        </is>
      </c>
      <c r="G185" t="inlineStr">
        <is>
          <t>ÖSTRA GÖINGE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46271</v>
      </c>
      <c r="F186" t="inlineStr">
        <is>
          <t>SKÅNE LÄN</t>
        </is>
      </c>
      <c r="G186" t="inlineStr">
        <is>
          <t>ÖSTRA GÖINGE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46271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46271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45146</v>
      </c>
      <c r="E189" s="1" t="n">
        <v>46271</v>
      </c>
      <c r="F189" t="inlineStr">
        <is>
          <t>SKÅNE LÄN</t>
        </is>
      </c>
      <c r="G189" t="inlineStr">
        <is>
          <t>ÖSTRA GÖINGE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46271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46271</v>
      </c>
      <c r="F191" t="inlineStr">
        <is>
          <t>SKÅNE LÄN</t>
        </is>
      </c>
      <c r="G191" t="inlineStr">
        <is>
          <t>ÖSTRA GÖINGE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45489</v>
      </c>
      <c r="E192" s="1" t="n">
        <v>46271</v>
      </c>
      <c r="F192" t="inlineStr">
        <is>
          <t>SKÅNE LÄN</t>
        </is>
      </c>
      <c r="G192" t="inlineStr">
        <is>
          <t>ÖSTRA GÖINGE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45686</v>
      </c>
      <c r="E193" s="1" t="n">
        <v>46271</v>
      </c>
      <c r="F193" t="inlineStr">
        <is>
          <t>SKÅNE LÄN</t>
        </is>
      </c>
      <c r="G193" t="inlineStr">
        <is>
          <t>ÖSTRA GÖINGE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46271</v>
      </c>
      <c r="F194" t="inlineStr">
        <is>
          <t>SKÅNE LÄN</t>
        </is>
      </c>
      <c r="G194" t="inlineStr">
        <is>
          <t>ÖSTRA GÖINGE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46271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46271</v>
      </c>
      <c r="F196" t="inlineStr">
        <is>
          <t>SKÅNE LÄN</t>
        </is>
      </c>
      <c r="G196" t="inlineStr">
        <is>
          <t>ÖSTRA GÖINGE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46271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46271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46271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46271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46271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46271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46271</v>
      </c>
      <c r="F203" t="inlineStr">
        <is>
          <t>SKÅNE LÄN</t>
        </is>
      </c>
      <c r="G203" t="inlineStr">
        <is>
          <t>ÖSTRA GÖINGE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46271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46271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46271</v>
      </c>
      <c r="F206" t="inlineStr">
        <is>
          <t>SKÅNE LÄN</t>
        </is>
      </c>
      <c r="G206" t="inlineStr">
        <is>
          <t>ÖSTRA GÖINGE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46271</v>
      </c>
      <c r="F207" t="inlineStr">
        <is>
          <t>SKÅNE LÄN</t>
        </is>
      </c>
      <c r="G207" t="inlineStr">
        <is>
          <t>ÖSTRA GÖINGE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45581</v>
      </c>
      <c r="E208" s="1" t="n">
        <v>46271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7057-2026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46057</v>
      </c>
      <c r="E209" s="1" t="n">
        <v>46271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46271</v>
      </c>
      <c r="F210" t="inlineStr">
        <is>
          <t>SKÅNE LÄN</t>
        </is>
      </c>
      <c r="G210" t="inlineStr">
        <is>
          <t>ÖSTRA GÖINGE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46271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46271</v>
      </c>
      <c r="F212" t="inlineStr">
        <is>
          <t>SKÅNE LÄN</t>
        </is>
      </c>
      <c r="G212" t="inlineStr">
        <is>
          <t>ÖSTRA GÖINGE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44853</v>
      </c>
      <c r="E213" s="1" t="n">
        <v>46271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45069</v>
      </c>
      <c r="E214" s="1" t="n">
        <v>46271</v>
      </c>
      <c r="F214" t="inlineStr">
        <is>
          <t>SKÅNE LÄN</t>
        </is>
      </c>
      <c r="G214" t="inlineStr">
        <is>
          <t>ÖSTRA GÖINGE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46271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46271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46271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46271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46271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45970</v>
      </c>
      <c r="E220" s="1" t="n">
        <v>46271</v>
      </c>
      <c r="F220" t="inlineStr">
        <is>
          <t>SKÅNE LÄN</t>
        </is>
      </c>
      <c r="G220" t="inlineStr">
        <is>
          <t>ÖSTRA GÖINGE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46271</v>
      </c>
      <c r="F221" t="inlineStr">
        <is>
          <t>SKÅNE LÄN</t>
        </is>
      </c>
      <c r="G221" t="inlineStr">
        <is>
          <t>ÖSTRA GÖINGE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46271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46271</v>
      </c>
      <c r="F223" t="inlineStr">
        <is>
          <t>SKÅNE LÄN</t>
        </is>
      </c>
      <c r="G223" t="inlineStr">
        <is>
          <t>ÖSTRA GÖINGE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46271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46271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46271</v>
      </c>
      <c r="F226" t="inlineStr">
        <is>
          <t>SKÅNE LÄN</t>
        </is>
      </c>
      <c r="G226" t="inlineStr">
        <is>
          <t>ÖSTRA GÖINGE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46271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46271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46271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46271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45685</v>
      </c>
      <c r="E231" s="1" t="n">
        <v>46271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46271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45410</v>
      </c>
      <c r="E233" s="1" t="n">
        <v>46271</v>
      </c>
      <c r="F233" t="inlineStr">
        <is>
          <t>SKÅNE LÄN</t>
        </is>
      </c>
      <c r="G233" t="inlineStr">
        <is>
          <t>ÖSTRA GÖINGE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46271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46271</v>
      </c>
      <c r="F235" t="inlineStr">
        <is>
          <t>SKÅNE LÄN</t>
        </is>
      </c>
      <c r="G235" t="inlineStr">
        <is>
          <t>ÖSTRA GÖINGE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46271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46271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46271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46271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46271</v>
      </c>
      <c r="F240" t="inlineStr">
        <is>
          <t>SKÅNE LÄN</t>
        </is>
      </c>
      <c r="G240" t="inlineStr">
        <is>
          <t>ÖSTRA GÖINGE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46271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46271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46271</v>
      </c>
      <c r="F243" t="inlineStr">
        <is>
          <t>SKÅNE LÄN</t>
        </is>
      </c>
      <c r="G243" t="inlineStr">
        <is>
          <t>ÖSTRA GÖINGE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46271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46271</v>
      </c>
      <c r="F245" t="inlineStr">
        <is>
          <t>SKÅNE LÄN</t>
        </is>
      </c>
      <c r="G245" t="inlineStr">
        <is>
          <t>ÖSTRA GÖINGE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46271</v>
      </c>
      <c r="F246" t="inlineStr">
        <is>
          <t>SKÅNE LÄN</t>
        </is>
      </c>
      <c r="G246" t="inlineStr">
        <is>
          <t>ÖSTRA GÖINGE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46271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46271</v>
      </c>
      <c r="F248" t="inlineStr">
        <is>
          <t>SKÅNE LÄN</t>
        </is>
      </c>
      <c r="G248" t="inlineStr">
        <is>
          <t>ÖSTRA GÖINGE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46271</v>
      </c>
      <c r="F249" t="inlineStr">
        <is>
          <t>SKÅNE LÄN</t>
        </is>
      </c>
      <c r="G249" t="inlineStr">
        <is>
          <t>ÖSTRA GÖINGE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46271</v>
      </c>
      <c r="F250" t="inlineStr">
        <is>
          <t>SKÅNE LÄN</t>
        </is>
      </c>
      <c r="G250" t="inlineStr">
        <is>
          <t>ÖSTRA GÖINGE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46271</v>
      </c>
      <c r="F251" t="inlineStr">
        <is>
          <t>SKÅNE LÄN</t>
        </is>
      </c>
      <c r="G251" t="inlineStr">
        <is>
          <t>ÖSTRA GÖINGE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46271</v>
      </c>
      <c r="F252" t="inlineStr">
        <is>
          <t>SKÅNE LÄN</t>
        </is>
      </c>
      <c r="G252" t="inlineStr">
        <is>
          <t>ÖSTRA GÖINGE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46271</v>
      </c>
      <c r="F253" t="inlineStr">
        <is>
          <t>SKÅNE LÄN</t>
        </is>
      </c>
      <c r="G253" t="inlineStr">
        <is>
          <t>ÖSTRA GÖINGE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52522-2021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46271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46271</v>
      </c>
      <c r="F255" t="inlineStr">
        <is>
          <t>SKÅNE LÄN</t>
        </is>
      </c>
      <c r="G255" t="inlineStr">
        <is>
          <t>ÖSTRA GÖINGE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46271</v>
      </c>
      <c r="F256" t="inlineStr">
        <is>
          <t>SKÅNE LÄN</t>
        </is>
      </c>
      <c r="G256" t="inlineStr">
        <is>
          <t>ÖSTRA GÖINGE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46271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46271</v>
      </c>
      <c r="F258" t="inlineStr">
        <is>
          <t>SKÅNE LÄN</t>
        </is>
      </c>
      <c r="G258" t="inlineStr">
        <is>
          <t>ÖSTRA GÖINGE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46271</v>
      </c>
      <c r="F259" t="inlineStr">
        <is>
          <t>SKÅNE LÄN</t>
        </is>
      </c>
      <c r="G259" t="inlineStr">
        <is>
          <t>ÖSTRA GÖINGE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46271</v>
      </c>
      <c r="F260" t="inlineStr">
        <is>
          <t>SKÅNE LÄN</t>
        </is>
      </c>
      <c r="G260" t="inlineStr">
        <is>
          <t>ÖSTRA GÖINGE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46271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46271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46271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46271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46271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46271</v>
      </c>
      <c r="F266" t="inlineStr">
        <is>
          <t>SKÅNE LÄN</t>
        </is>
      </c>
      <c r="G266" t="inlineStr">
        <is>
          <t>ÖSTRA GÖINGE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46271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46271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64181-2023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45279</v>
      </c>
      <c r="E269" s="1" t="n">
        <v>46271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46271</v>
      </c>
      <c r="F270" t="inlineStr">
        <is>
          <t>SKÅNE LÄN</t>
        </is>
      </c>
      <c r="G270" t="inlineStr">
        <is>
          <t>ÖSTRA GÖINGE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45310</v>
      </c>
      <c r="E271" s="1" t="n">
        <v>46271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46271</v>
      </c>
      <c r="F272" t="inlineStr">
        <is>
          <t>SKÅNE LÄN</t>
        </is>
      </c>
      <c r="G272" t="inlineStr">
        <is>
          <t>ÖSTRA GÖINGE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46271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46271</v>
      </c>
      <c r="F274" t="inlineStr">
        <is>
          <t>SKÅNE LÄN</t>
        </is>
      </c>
      <c r="G274" t="inlineStr">
        <is>
          <t>ÖSTRA GÖINGE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46271</v>
      </c>
      <c r="F275" t="inlineStr">
        <is>
          <t>SKÅNE LÄN</t>
        </is>
      </c>
      <c r="G275" t="inlineStr">
        <is>
          <t>ÖSTRA GÖINGE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46271</v>
      </c>
      <c r="F276" t="inlineStr">
        <is>
          <t>SKÅNE LÄN</t>
        </is>
      </c>
      <c r="G276" t="inlineStr">
        <is>
          <t>ÖSTRA GÖINGE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46271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46271</v>
      </c>
      <c r="F278" t="inlineStr">
        <is>
          <t>SKÅNE LÄN</t>
        </is>
      </c>
      <c r="G278" t="inlineStr">
        <is>
          <t>ÖSTRA GÖINGE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46271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46271</v>
      </c>
      <c r="F280" t="inlineStr">
        <is>
          <t>SKÅNE LÄN</t>
        </is>
      </c>
      <c r="G280" t="inlineStr">
        <is>
          <t>ÖSTRA GÖINGE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44873</v>
      </c>
      <c r="E281" s="1" t="n">
        <v>46271</v>
      </c>
      <c r="F281" t="inlineStr">
        <is>
          <t>SKÅNE LÄN</t>
        </is>
      </c>
      <c r="G281" t="inlineStr">
        <is>
          <t>ÖSTRA GÖINGE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46271</v>
      </c>
      <c r="F282" t="inlineStr">
        <is>
          <t>SKÅNE LÄN</t>
        </is>
      </c>
      <c r="G282" t="inlineStr">
        <is>
          <t>ÖSTRA GÖINGE</t>
        </is>
      </c>
      <c r="H282" t="inlineStr">
        <is>
          <t>Sveaskog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46271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46271</v>
      </c>
      <c r="F284" t="inlineStr">
        <is>
          <t>SKÅNE LÄN</t>
        </is>
      </c>
      <c r="G284" t="inlineStr">
        <is>
          <t>ÖSTRA GÖINGE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46271</v>
      </c>
      <c r="F285" t="inlineStr">
        <is>
          <t>SKÅNE LÄN</t>
        </is>
      </c>
      <c r="G285" t="inlineStr">
        <is>
          <t>ÖSTRA GÖINGE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46271</v>
      </c>
      <c r="F286" t="inlineStr">
        <is>
          <t>SKÅNE LÄN</t>
        </is>
      </c>
      <c r="G286" t="inlineStr">
        <is>
          <t>ÖSTRA GÖINGE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44459</v>
      </c>
      <c r="E287" s="1" t="n">
        <v>46271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46271</v>
      </c>
      <c r="F288" t="inlineStr">
        <is>
          <t>SKÅNE LÄN</t>
        </is>
      </c>
      <c r="G288" t="inlineStr">
        <is>
          <t>ÖSTRA GÖINGE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46271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46271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66526-2021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44519</v>
      </c>
      <c r="E291" s="1" t="n">
        <v>46271</v>
      </c>
      <c r="F291" t="inlineStr">
        <is>
          <t>SKÅNE LÄN</t>
        </is>
      </c>
      <c r="G291" t="inlineStr">
        <is>
          <t>ÖSTRA GÖINGE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44929</v>
      </c>
      <c r="E292" s="1" t="n">
        <v>46271</v>
      </c>
      <c r="F292" t="inlineStr">
        <is>
          <t>SKÅNE LÄN</t>
        </is>
      </c>
      <c r="G292" t="inlineStr">
        <is>
          <t>ÖSTRA GÖINGE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46271</v>
      </c>
      <c r="F293" t="inlineStr">
        <is>
          <t>SKÅNE LÄN</t>
        </is>
      </c>
      <c r="G293" t="inlineStr">
        <is>
          <t>ÖSTRA GÖINGE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45386</v>
      </c>
      <c r="E294" s="1" t="n">
        <v>46271</v>
      </c>
      <c r="F294" t="inlineStr">
        <is>
          <t>SKÅNE LÄN</t>
        </is>
      </c>
      <c r="G294" t="inlineStr">
        <is>
          <t>ÖSTRA GÖINGE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46271</v>
      </c>
      <c r="F295" t="inlineStr">
        <is>
          <t>SKÅNE LÄN</t>
        </is>
      </c>
      <c r="G295" t="inlineStr">
        <is>
          <t>ÖSTRA GÖINGE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45435</v>
      </c>
      <c r="E296" s="1" t="n">
        <v>46271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46271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46271</v>
      </c>
      <c r="F298" t="inlineStr">
        <is>
          <t>SKÅNE LÄN</t>
        </is>
      </c>
      <c r="G298" t="inlineStr">
        <is>
          <t>ÖSTRA GÖINGE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42192-2023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45179</v>
      </c>
      <c r="E299" s="1" t="n">
        <v>46271</v>
      </c>
      <c r="F299" t="inlineStr">
        <is>
          <t>SKÅNE LÄN</t>
        </is>
      </c>
      <c r="G299" t="inlineStr">
        <is>
          <t>ÖSTRA GÖINGE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46271</v>
      </c>
      <c r="F300" t="inlineStr">
        <is>
          <t>SKÅNE LÄN</t>
        </is>
      </c>
      <c r="G300" t="inlineStr">
        <is>
          <t>ÖSTRA GÖINGE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46271</v>
      </c>
      <c r="F301" t="inlineStr">
        <is>
          <t>SKÅNE LÄN</t>
        </is>
      </c>
      <c r="G301" t="inlineStr">
        <is>
          <t>ÖSTRA GÖINGE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46271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46271</v>
      </c>
      <c r="F303" t="inlineStr">
        <is>
          <t>SKÅNE LÄN</t>
        </is>
      </c>
      <c r="G303" t="inlineStr">
        <is>
          <t>ÖSTRA GÖINGE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46271</v>
      </c>
      <c r="F304" t="inlineStr">
        <is>
          <t>SKÅNE LÄN</t>
        </is>
      </c>
      <c r="G304" t="inlineStr">
        <is>
          <t>ÖSTRA GÖINGE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46271</v>
      </c>
      <c r="F305" t="inlineStr">
        <is>
          <t>SKÅNE LÄN</t>
        </is>
      </c>
      <c r="G305" t="inlineStr">
        <is>
          <t>ÖSTRA GÖINGE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46271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46271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46271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46271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46271</v>
      </c>
      <c r="F310" t="inlineStr">
        <is>
          <t>SKÅNE LÄN</t>
        </is>
      </c>
      <c r="G310" t="inlineStr">
        <is>
          <t>ÖSTRA GÖINGE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45568</v>
      </c>
      <c r="E311" s="1" t="n">
        <v>46271</v>
      </c>
      <c r="F311" t="inlineStr">
        <is>
          <t>SKÅNE LÄN</t>
        </is>
      </c>
      <c r="G311" t="inlineStr">
        <is>
          <t>ÖSTRA GÖINGE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46271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46271</v>
      </c>
      <c r="F313" t="inlineStr">
        <is>
          <t>SKÅNE LÄN</t>
        </is>
      </c>
      <c r="G313" t="inlineStr">
        <is>
          <t>ÖSTRA GÖINGE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46271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46271</v>
      </c>
      <c r="F315" t="inlineStr">
        <is>
          <t>SKÅNE LÄN</t>
        </is>
      </c>
      <c r="G315" t="inlineStr">
        <is>
          <t>ÖSTRA GÖINGE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46271</v>
      </c>
      <c r="F316" t="inlineStr">
        <is>
          <t>SKÅNE LÄN</t>
        </is>
      </c>
      <c r="G316" t="inlineStr">
        <is>
          <t>ÖSTRA GÖINGE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46271</v>
      </c>
      <c r="F317" t="inlineStr">
        <is>
          <t>SKÅNE LÄN</t>
        </is>
      </c>
      <c r="G317" t="inlineStr">
        <is>
          <t>ÖSTRA GÖINGE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46271</v>
      </c>
      <c r="F318" t="inlineStr">
        <is>
          <t>SKÅNE LÄN</t>
        </is>
      </c>
      <c r="G318" t="inlineStr">
        <is>
          <t>ÖSTRA GÖINGE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46271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46271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46271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46271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46271</v>
      </c>
      <c r="F323" t="inlineStr">
        <is>
          <t>SKÅNE LÄN</t>
        </is>
      </c>
      <c r="G323" t="inlineStr">
        <is>
          <t>ÖSTRA GÖINGE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74142-2021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44557</v>
      </c>
      <c r="E324" s="1" t="n">
        <v>46271</v>
      </c>
      <c r="F324" t="inlineStr">
        <is>
          <t>SKÅNE LÄN</t>
        </is>
      </c>
      <c r="G324" t="inlineStr">
        <is>
          <t>ÖSTRA GÖINGE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46271</v>
      </c>
      <c r="F325" t="inlineStr">
        <is>
          <t>SKÅNE LÄN</t>
        </is>
      </c>
      <c r="G325" t="inlineStr">
        <is>
          <t>ÖSTRA GÖINGE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55490-2022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46271</v>
      </c>
      <c r="F326" t="inlineStr">
        <is>
          <t>SKÅNE LÄN</t>
        </is>
      </c>
      <c r="G326" t="inlineStr">
        <is>
          <t>ÖSTRA GÖINGE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46271</v>
      </c>
      <c r="F327" t="inlineStr">
        <is>
          <t>SKÅNE LÄN</t>
        </is>
      </c>
      <c r="G327" t="inlineStr">
        <is>
          <t>ÖSTRA GÖINGE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45256</v>
      </c>
      <c r="E328" s="1" t="n">
        <v>46271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46271</v>
      </c>
      <c r="F329" t="inlineStr">
        <is>
          <t>SKÅNE LÄN</t>
        </is>
      </c>
      <c r="G329" t="inlineStr">
        <is>
          <t>ÖSTRA GÖINGE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45583</v>
      </c>
      <c r="E330" s="1" t="n">
        <v>46271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46271</v>
      </c>
      <c r="F331" t="inlineStr">
        <is>
          <t>SKÅNE LÄN</t>
        </is>
      </c>
      <c r="G331" t="inlineStr">
        <is>
          <t>ÖSTRA GÖINGE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46271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71747-2021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44539</v>
      </c>
      <c r="E333" s="1" t="n">
        <v>46271</v>
      </c>
      <c r="F333" t="inlineStr">
        <is>
          <t>SKÅNE LÄN</t>
        </is>
      </c>
      <c r="G333" t="inlineStr">
        <is>
          <t>ÖSTRA GÖINGE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46271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46147</v>
      </c>
      <c r="E335" s="1" t="n">
        <v>46271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46271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45636</v>
      </c>
      <c r="E337" s="1" t="n">
        <v>46271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46271</v>
      </c>
      <c r="F338" t="inlineStr">
        <is>
          <t>SKÅNE LÄN</t>
        </is>
      </c>
      <c r="G338" t="inlineStr">
        <is>
          <t>ÖSTRA GÖINGE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46271</v>
      </c>
      <c r="F339" t="inlineStr">
        <is>
          <t>SKÅNE LÄN</t>
        </is>
      </c>
      <c r="G339" t="inlineStr">
        <is>
          <t>ÖSTRA GÖINGE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46271</v>
      </c>
      <c r="F340" t="inlineStr">
        <is>
          <t>SKÅNE LÄN</t>
        </is>
      </c>
      <c r="G340" t="inlineStr">
        <is>
          <t>ÖSTRA GÖINGE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46271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46271</v>
      </c>
      <c r="F342" t="inlineStr">
        <is>
          <t>SKÅNE LÄN</t>
        </is>
      </c>
      <c r="G342" t="inlineStr">
        <is>
          <t>ÖSTRA GÖINGE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45807</v>
      </c>
      <c r="E343" s="1" t="n">
        <v>46271</v>
      </c>
      <c r="F343" t="inlineStr">
        <is>
          <t>SKÅNE LÄN</t>
        </is>
      </c>
      <c r="G343" t="inlineStr">
        <is>
          <t>ÖSTRA GÖINGE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46271</v>
      </c>
      <c r="F344" t="inlineStr">
        <is>
          <t>SKÅNE LÄN</t>
        </is>
      </c>
      <c r="G344" t="inlineStr">
        <is>
          <t>ÖSTRA GÖINGE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46271</v>
      </c>
      <c r="F345" t="inlineStr">
        <is>
          <t>SKÅNE LÄN</t>
        </is>
      </c>
      <c r="G345" t="inlineStr">
        <is>
          <t>ÖSTRA GÖINGE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46271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46271</v>
      </c>
      <c r="F347" t="inlineStr">
        <is>
          <t>SKÅNE LÄN</t>
        </is>
      </c>
      <c r="G347" t="inlineStr">
        <is>
          <t>ÖSTRA GÖINGE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43054-2025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46271</v>
      </c>
      <c r="F348" t="inlineStr">
        <is>
          <t>SKÅNE LÄN</t>
        </is>
      </c>
      <c r="G348" t="inlineStr">
        <is>
          <t>ÖSTRA GÖINGE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46271</v>
      </c>
      <c r="F349" t="inlineStr">
        <is>
          <t>SKÅNE LÄN</t>
        </is>
      </c>
      <c r="G349" t="inlineStr">
        <is>
          <t>ÖSTRA GÖINGE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48952-2022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44859</v>
      </c>
      <c r="E350" s="1" t="n">
        <v>46271</v>
      </c>
      <c r="F350" t="inlineStr">
        <is>
          <t>SKÅNE LÄN</t>
        </is>
      </c>
      <c r="G350" t="inlineStr">
        <is>
          <t>ÖSTRA GÖINGE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46271</v>
      </c>
      <c r="F351" t="inlineStr">
        <is>
          <t>SKÅNE LÄN</t>
        </is>
      </c>
      <c r="G351" t="inlineStr">
        <is>
          <t>ÖSTRA GÖINGE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46271</v>
      </c>
      <c r="F352" t="inlineStr">
        <is>
          <t>SKÅNE LÄN</t>
        </is>
      </c>
      <c r="G352" t="inlineStr">
        <is>
          <t>ÖSTRA GÖINGE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50896-2021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44460</v>
      </c>
      <c r="E353" s="1" t="n">
        <v>46271</v>
      </c>
      <c r="F353" t="inlineStr">
        <is>
          <t>SKÅNE LÄN</t>
        </is>
      </c>
      <c r="G353" t="inlineStr">
        <is>
          <t>ÖSTRA GÖINGE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50927-2021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46271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45733</v>
      </c>
      <c r="E355" s="1" t="n">
        <v>46271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46271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45686</v>
      </c>
      <c r="E357" s="1" t="n">
        <v>46271</v>
      </c>
      <c r="F357" t="inlineStr">
        <is>
          <t>SKÅNE LÄN</t>
        </is>
      </c>
      <c r="G357" t="inlineStr">
        <is>
          <t>ÖSTRA GÖINGE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46271</v>
      </c>
      <c r="F358" t="inlineStr">
        <is>
          <t>SKÅNE LÄN</t>
        </is>
      </c>
      <c r="G358" t="inlineStr">
        <is>
          <t>ÖSTRA GÖINGE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46271</v>
      </c>
      <c r="F359" t="inlineStr">
        <is>
          <t>SKÅNE LÄN</t>
        </is>
      </c>
      <c r="G359" t="inlineStr">
        <is>
          <t>ÖSTRA GÖINGE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46271</v>
      </c>
      <c r="F360" t="inlineStr">
        <is>
          <t>SKÅNE LÄN</t>
        </is>
      </c>
      <c r="G360" t="inlineStr">
        <is>
          <t>ÖSTRA GÖINGE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46271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45538</v>
      </c>
      <c r="E362" s="1" t="n">
        <v>46271</v>
      </c>
      <c r="F362" t="inlineStr">
        <is>
          <t>SKÅNE LÄN</t>
        </is>
      </c>
      <c r="G362" t="inlineStr">
        <is>
          <t>ÖSTRA GÖINGE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46271</v>
      </c>
      <c r="F363" t="inlineStr">
        <is>
          <t>SKÅNE LÄN</t>
        </is>
      </c>
      <c r="G363" t="inlineStr">
        <is>
          <t>ÖSTRA GÖINGE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46271</v>
      </c>
      <c r="F364" t="inlineStr">
        <is>
          <t>SKÅNE LÄN</t>
        </is>
      </c>
      <c r="G364" t="inlineStr">
        <is>
          <t>ÖSTRA GÖINGE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46271</v>
      </c>
      <c r="F365" t="inlineStr">
        <is>
          <t>SKÅNE LÄN</t>
        </is>
      </c>
      <c r="G365" t="inlineStr">
        <is>
          <t>ÖSTRA GÖINGE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46271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45362</v>
      </c>
      <c r="E367" s="1" t="n">
        <v>46271</v>
      </c>
      <c r="F367" t="inlineStr">
        <is>
          <t>SKÅNE LÄN</t>
        </is>
      </c>
      <c r="G367" t="inlineStr">
        <is>
          <t>ÖSTRA GÖINGE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44585</v>
      </c>
      <c r="E368" s="1" t="n">
        <v>46271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44930</v>
      </c>
      <c r="E369" s="1" t="n">
        <v>46271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46271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46271</v>
      </c>
      <c r="F371" t="inlineStr">
        <is>
          <t>SKÅNE LÄN</t>
        </is>
      </c>
      <c r="G371" t="inlineStr">
        <is>
          <t>ÖSTRA GÖINGE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57521-2022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46271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46271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46271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46271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46271</v>
      </c>
      <c r="F376" t="inlineStr">
        <is>
          <t>SKÅNE LÄN</t>
        </is>
      </c>
      <c r="G376" t="inlineStr">
        <is>
          <t>ÖSTRA GÖINGE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45205</v>
      </c>
      <c r="E377" s="1" t="n">
        <v>46271</v>
      </c>
      <c r="F377" t="inlineStr">
        <is>
          <t>SKÅNE LÄN</t>
        </is>
      </c>
      <c r="G377" t="inlineStr">
        <is>
          <t>ÖSTRA GÖINGE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45489</v>
      </c>
      <c r="E378" s="1" t="n">
        <v>46271</v>
      </c>
      <c r="F378" t="inlineStr">
        <is>
          <t>SKÅNE LÄN</t>
        </is>
      </c>
      <c r="G378" t="inlineStr">
        <is>
          <t>ÖSTRA GÖINGE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45105</v>
      </c>
      <c r="E379" s="1" t="n">
        <v>46271</v>
      </c>
      <c r="F379" t="inlineStr">
        <is>
          <t>SKÅNE LÄN</t>
        </is>
      </c>
      <c r="G379" t="inlineStr">
        <is>
          <t>ÖSTRA GÖINGE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46271</v>
      </c>
      <c r="F380" t="inlineStr">
        <is>
          <t>SKÅNE LÄN</t>
        </is>
      </c>
      <c r="G380" t="inlineStr">
        <is>
          <t>ÖSTRA GÖINGE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46271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46271</v>
      </c>
      <c r="F382" t="inlineStr">
        <is>
          <t>SKÅNE LÄN</t>
        </is>
      </c>
      <c r="G382" t="inlineStr">
        <is>
          <t>ÖSTRA GÖINGE</t>
        </is>
      </c>
      <c r="I382" t="n">
        <v>34.5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46271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46271</v>
      </c>
      <c r="F384" t="inlineStr">
        <is>
          <t>SKÅNE LÄN</t>
        </is>
      </c>
      <c r="G384" t="inlineStr">
        <is>
          <t>ÖSTRA GÖINGE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46271</v>
      </c>
      <c r="F385" t="inlineStr">
        <is>
          <t>SKÅNE LÄN</t>
        </is>
      </c>
      <c r="G385" t="inlineStr">
        <is>
          <t>ÖSTRA GÖINGE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46271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44887</v>
      </c>
      <c r="E387" s="1" t="n">
        <v>46271</v>
      </c>
      <c r="F387" t="inlineStr">
        <is>
          <t>SKÅNE LÄN</t>
        </is>
      </c>
      <c r="G387" t="inlineStr">
        <is>
          <t>ÖSTRA GÖINGE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46271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46271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46271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46271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46271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46271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52930-2021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44467</v>
      </c>
      <c r="E394" s="1" t="n">
        <v>46271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55716-2024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45622</v>
      </c>
      <c r="E395" s="1" t="n">
        <v>46271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46271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46271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46271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46271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46271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44796</v>
      </c>
      <c r="E401" s="1" t="n">
        <v>46271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46271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24020-2023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45078</v>
      </c>
      <c r="E403" s="1" t="n">
        <v>46271</v>
      </c>
      <c r="F403" t="inlineStr">
        <is>
          <t>SKÅNE LÄN</t>
        </is>
      </c>
      <c r="G403" t="inlineStr">
        <is>
          <t>ÖSTRA GÖINGE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46271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45774</v>
      </c>
      <c r="E405" s="1" t="n">
        <v>46271</v>
      </c>
      <c r="F405" t="inlineStr">
        <is>
          <t>SKÅNE LÄN</t>
        </is>
      </c>
      <c r="G405" t="inlineStr">
        <is>
          <t>ÖSTRA GÖINGE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46241</v>
      </c>
      <c r="E406" s="1" t="n">
        <v>46271</v>
      </c>
      <c r="F406" t="inlineStr">
        <is>
          <t>SKÅNE LÄN</t>
        </is>
      </c>
      <c r="G406" t="inlineStr">
        <is>
          <t>ÖSTRA GÖINGE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46271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46271</v>
      </c>
      <c r="F408" t="inlineStr">
        <is>
          <t>SKÅNE LÄN</t>
        </is>
      </c>
      <c r="G408" t="inlineStr">
        <is>
          <t>ÖSTRA GÖINGE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46271</v>
      </c>
      <c r="F409" t="inlineStr">
        <is>
          <t>SKÅNE LÄN</t>
        </is>
      </c>
      <c r="G409" t="inlineStr">
        <is>
          <t>ÖSTRA GÖINGE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46271</v>
      </c>
      <c r="F410" t="inlineStr">
        <is>
          <t>SKÅNE LÄN</t>
        </is>
      </c>
      <c r="G410" t="inlineStr">
        <is>
          <t>ÖSTRA GÖINGE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46271</v>
      </c>
      <c r="F411" t="inlineStr">
        <is>
          <t>SKÅNE LÄN</t>
        </is>
      </c>
      <c r="G411" t="inlineStr">
        <is>
          <t>ÖSTRA GÖINGE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45138</v>
      </c>
      <c r="E412" s="1" t="n">
        <v>46271</v>
      </c>
      <c r="F412" t="inlineStr">
        <is>
          <t>SKÅNE LÄN</t>
        </is>
      </c>
      <c r="G412" t="inlineStr">
        <is>
          <t>ÖSTRA GÖINGE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46271</v>
      </c>
      <c r="F413" t="inlineStr">
        <is>
          <t>SKÅNE LÄN</t>
        </is>
      </c>
      <c r="G413" t="inlineStr">
        <is>
          <t>ÖSTRA GÖINGE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45765</v>
      </c>
      <c r="E414" s="1" t="n">
        <v>46271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46271</v>
      </c>
      <c r="F415" t="inlineStr">
        <is>
          <t>SKÅNE LÄN</t>
        </is>
      </c>
      <c r="G415" t="inlineStr">
        <is>
          <t>ÖSTRA GÖINGE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46271</v>
      </c>
      <c r="F416" t="inlineStr">
        <is>
          <t>SKÅNE LÄN</t>
        </is>
      </c>
      <c r="G416" t="inlineStr">
        <is>
          <t>ÖSTRA GÖINGE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45076</v>
      </c>
      <c r="E417" s="1" t="n">
        <v>46271</v>
      </c>
      <c r="F417" t="inlineStr">
        <is>
          <t>SKÅNE LÄN</t>
        </is>
      </c>
      <c r="G417" t="inlineStr">
        <is>
          <t>ÖSTRA GÖINGE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46271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30111-2026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46206</v>
      </c>
      <c r="E419" s="1" t="n">
        <v>46271</v>
      </c>
      <c r="F419" t="inlineStr">
        <is>
          <t>SKÅNE LÄN</t>
        </is>
      </c>
      <c r="G419" t="inlineStr">
        <is>
          <t>ÖSTRA GÖINGE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46271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46248</v>
      </c>
      <c r="E421" s="1" t="n">
        <v>46271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46271</v>
      </c>
      <c r="F422" t="inlineStr">
        <is>
          <t>SKÅNE LÄN</t>
        </is>
      </c>
      <c r="G422" t="inlineStr">
        <is>
          <t>ÖSTRA GÖINGE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44810</v>
      </c>
      <c r="E423" s="1" t="n">
        <v>46271</v>
      </c>
      <c r="F423" t="inlineStr">
        <is>
          <t>SKÅNE LÄN</t>
        </is>
      </c>
      <c r="G423" t="inlineStr">
        <is>
          <t>ÖSTRA GÖINGE</t>
        </is>
      </c>
      <c r="H423" t="inlineStr">
        <is>
          <t>Kyrkan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46271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46271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46271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46271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46271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44946</v>
      </c>
      <c r="E429" s="1" t="n">
        <v>46271</v>
      </c>
      <c r="F429" t="inlineStr">
        <is>
          <t>SKÅNE LÄN</t>
        </is>
      </c>
      <c r="G429" t="inlineStr">
        <is>
          <t>ÖSTRA GÖINGE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44593</v>
      </c>
      <c r="E430" s="1" t="n">
        <v>46271</v>
      </c>
      <c r="F430" t="inlineStr">
        <is>
          <t>SKÅNE LÄN</t>
        </is>
      </c>
      <c r="G430" t="inlineStr">
        <is>
          <t>ÖSTRA GÖINGE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46271</v>
      </c>
      <c r="F431" t="inlineStr">
        <is>
          <t>SKÅNE LÄN</t>
        </is>
      </c>
      <c r="G431" t="inlineStr">
        <is>
          <t>ÖSTRA GÖINGE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46271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46271</v>
      </c>
      <c r="F433" t="inlineStr">
        <is>
          <t>SKÅNE LÄN</t>
        </is>
      </c>
      <c r="G433" t="inlineStr">
        <is>
          <t>ÖSTRA GÖINGE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46271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46271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58868-2021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44489</v>
      </c>
      <c r="E436" s="1" t="n">
        <v>46271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46271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46271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45564</v>
      </c>
      <c r="E439" s="1" t="n">
        <v>46271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46271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46271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46271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46271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46271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46258</v>
      </c>
      <c r="E445" s="1" t="n">
        <v>46271</v>
      </c>
      <c r="F445" t="inlineStr">
        <is>
          <t>SKÅNE LÄN</t>
        </is>
      </c>
      <c r="G445" t="inlineStr">
        <is>
          <t>ÖSTRA GÖINGE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46271</v>
      </c>
      <c r="F446" t="inlineStr">
        <is>
          <t>SKÅNE LÄN</t>
        </is>
      </c>
      <c r="G446" t="inlineStr">
        <is>
          <t>ÖSTRA GÖINGE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46271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46271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46271</v>
      </c>
      <c r="F449" t="inlineStr">
        <is>
          <t>SKÅNE LÄN</t>
        </is>
      </c>
      <c r="G449" t="inlineStr">
        <is>
          <t>ÖSTRA GÖINGE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45301</v>
      </c>
      <c r="E450" s="1" t="n">
        <v>46271</v>
      </c>
      <c r="F450" t="inlineStr">
        <is>
          <t>SKÅNE LÄN</t>
        </is>
      </c>
      <c r="G450" t="inlineStr">
        <is>
          <t>ÖSTRA GÖINGE</t>
        </is>
      </c>
      <c r="I450" t="n">
        <v>53.6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2502-2023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45124</v>
      </c>
      <c r="E451" s="1" t="n">
        <v>46271</v>
      </c>
      <c r="F451" t="inlineStr">
        <is>
          <t>SKÅNE LÄN</t>
        </is>
      </c>
      <c r="G451" t="inlineStr">
        <is>
          <t>ÖSTRA GÖINGE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2639-2022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44700</v>
      </c>
      <c r="E452" s="1" t="n">
        <v>46271</v>
      </c>
      <c r="F452" t="inlineStr">
        <is>
          <t>SKÅNE LÄN</t>
        </is>
      </c>
      <c r="G452" t="inlineStr">
        <is>
          <t>ÖSTRA GÖINGE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46271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1043-2022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44613</v>
      </c>
      <c r="E454" s="1" t="n">
        <v>46271</v>
      </c>
      <c r="F454" t="inlineStr">
        <is>
          <t>SKÅNE LÄN</t>
        </is>
      </c>
      <c r="G454" t="inlineStr">
        <is>
          <t>ÖSTRA GÖINGE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46271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46271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46271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46271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46271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2600-2022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46271</v>
      </c>
      <c r="F460" t="inlineStr">
        <is>
          <t>SKÅNE LÄN</t>
        </is>
      </c>
      <c r="G460" t="inlineStr">
        <is>
          <t>ÖSTRA GÖINGE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46271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46271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46271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46271</v>
      </c>
      <c r="F464" t="inlineStr">
        <is>
          <t>SKÅNE LÄN</t>
        </is>
      </c>
      <c r="G464" t="inlineStr">
        <is>
          <t>ÖSTRA GÖINGE</t>
        </is>
      </c>
      <c r="I464" t="n">
        <v>18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46271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46271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46271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2143-2022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44676</v>
      </c>
      <c r="E468" s="1" t="n">
        <v>46271</v>
      </c>
      <c r="F468" t="inlineStr">
        <is>
          <t>SKÅNE LÄN</t>
        </is>
      </c>
      <c r="G468" t="inlineStr">
        <is>
          <t>ÖSTRA GÖINGE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444-2022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46271</v>
      </c>
      <c r="F469" t="inlineStr">
        <is>
          <t>SKÅNE LÄN</t>
        </is>
      </c>
      <c r="G469" t="inlineStr">
        <is>
          <t>ÖSTRA GÖINGE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46271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46271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46271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46271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450-2022</t>
        </is>
      </c>
      <c r="B474" t="inlineStr">
        <is>
          <t>samrådsanmälan</t>
        </is>
      </c>
      <c r="C474" t="inlineStr">
        <is>
          <t>Åtgärd i nyckelbiotop</t>
        </is>
      </c>
      <c r="D474" s="1" t="n">
        <v>44586</v>
      </c>
      <c r="E474" s="1" t="n">
        <v>46271</v>
      </c>
      <c r="F474" t="inlineStr">
        <is>
          <t>SKÅNE LÄN</t>
        </is>
      </c>
      <c r="G474" t="inlineStr">
        <is>
          <t>ÖSTRA GÖINGE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1223-2025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45761</v>
      </c>
      <c r="E475" s="1" t="n">
        <v>46271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1305-2025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45770</v>
      </c>
      <c r="E476" s="1" t="n">
        <v>46271</v>
      </c>
      <c r="F476" t="inlineStr">
        <is>
          <t>SKÅNE LÄN</t>
        </is>
      </c>
      <c r="G476" t="inlineStr">
        <is>
          <t>ÖSTRA GÖINGE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625-2025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45714</v>
      </c>
      <c r="E477" s="1" t="n">
        <v>46271</v>
      </c>
      <c r="F477" t="inlineStr">
        <is>
          <t>SKÅNE LÄN</t>
        </is>
      </c>
      <c r="G477" t="inlineStr">
        <is>
          <t>ÖSTRA GÖINGE</t>
        </is>
      </c>
      <c r="I477" t="n">
        <v>93.59999999999999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649-2025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45715</v>
      </c>
      <c r="E478" s="1" t="n">
        <v>46271</v>
      </c>
      <c r="F478" t="inlineStr">
        <is>
          <t>SKÅNE LÄN</t>
        </is>
      </c>
      <c r="G478" t="inlineStr">
        <is>
          <t>ÖSTRA GÖINGE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451-2025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45701</v>
      </c>
      <c r="E479" s="1" t="n">
        <v>46271</v>
      </c>
      <c r="F479" t="inlineStr">
        <is>
          <t>SKÅNE LÄN</t>
        </is>
      </c>
      <c r="G479" t="inlineStr">
        <is>
          <t>ÖSTRA GÖINGE</t>
        </is>
      </c>
      <c r="I479" t="n">
        <v>17.7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252-2025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45684</v>
      </c>
      <c r="E480" s="1" t="n">
        <v>46271</v>
      </c>
      <c r="F480" t="inlineStr">
        <is>
          <t>SKÅNE LÄN</t>
        </is>
      </c>
      <c r="G480" t="inlineStr">
        <is>
          <t>ÖSTRA GÖINGE</t>
        </is>
      </c>
      <c r="I480" t="n">
        <v>20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885-2025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45735</v>
      </c>
      <c r="E481" s="1" t="n">
        <v>46271</v>
      </c>
      <c r="F481" t="inlineStr">
        <is>
          <t>SKÅNE LÄN</t>
        </is>
      </c>
      <c r="G481" t="inlineStr">
        <is>
          <t>ÖSTRA GÖINGE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1703-2025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45805</v>
      </c>
      <c r="E482" s="1" t="n">
        <v>46271</v>
      </c>
      <c r="F482" t="inlineStr">
        <is>
          <t>SKÅNE LÄN</t>
        </is>
      </c>
      <c r="G482" t="inlineStr">
        <is>
          <t>ÖSTRA GÖINGE</t>
        </is>
      </c>
      <c r="I482" t="n">
        <v>21.2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2712-2025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46271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2711-2025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46271</v>
      </c>
      <c r="F484" t="inlineStr">
        <is>
          <t>SKÅNE LÄN</t>
        </is>
      </c>
      <c r="G484" t="inlineStr">
        <is>
          <t>ÖSTRA GÖINGE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3154-2025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46271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3153-2025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46271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46271</v>
      </c>
      <c r="F487" t="inlineStr">
        <is>
          <t>SKÅNE LÄN</t>
        </is>
      </c>
      <c r="G487" t="inlineStr">
        <is>
          <t>ÖSTRA GÖINGE</t>
        </is>
      </c>
      <c r="I487" t="n">
        <v>14.3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46271</v>
      </c>
      <c r="F488" t="inlineStr">
        <is>
          <t>SKÅNE LÄN</t>
        </is>
      </c>
      <c r="G488" t="inlineStr">
        <is>
          <t>ÖSTRA GÖINGE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509-2026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46077</v>
      </c>
      <c r="E489" s="1" t="n">
        <v>46271</v>
      </c>
      <c r="F489" t="inlineStr">
        <is>
          <t>SKÅNE LÄN</t>
        </is>
      </c>
      <c r="G489" t="inlineStr">
        <is>
          <t>ÖSTRA GÖINGE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816-2026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46104</v>
      </c>
      <c r="E490" s="1" t="n">
        <v>46271</v>
      </c>
      <c r="F490" t="inlineStr">
        <is>
          <t>SKÅNE LÄN</t>
        </is>
      </c>
      <c r="G490" t="inlineStr">
        <is>
          <t>ÖSTRA GÖINGE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1410-2026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46155</v>
      </c>
      <c r="E491" s="1" t="n">
        <v>46271</v>
      </c>
      <c r="F491" t="inlineStr">
        <is>
          <t>SKÅNE LÄN</t>
        </is>
      </c>
      <c r="G491" t="inlineStr">
        <is>
          <t>ÖSTRA GÖINGE</t>
        </is>
      </c>
      <c r="I491" t="n">
        <v>18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2026-09-06T02:05:29Z</dcterms:created>
  <dcterms:modified xmlns:dcterms="http://purl.org/dc/terms/" xmlns:xsi="http://www.w3.org/2001/XMLSchema-instance" xsi:type="dcterms:W3CDTF">2026-09-06T02:05:30Z</dcterms:modified>
</cp:coreProperties>
</file>