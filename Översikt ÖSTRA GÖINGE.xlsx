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46274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46274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46274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46274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t="n">
        <v>0</v>
      </c>
      <c r="V14" s="2" t="inlineStr">
        <is>
          <t>Fällmossa
Klippfrullania
Västlig hakmossa</t>
        </is>
      </c>
      <c r="W14">
        <f>HYPERLINK("https://klasma.github.io/Logging_1256/artfynd/S 2860-2024 artfynd.xlsx", "S 2860-2024")</f>
        <v/>
      </c>
      <c r="X14">
        <f>HYPERLINK("https://klasma.github.io/Logging_1256/kartor/S 2860-2024 karta.png", "S 2860-2024")</f>
        <v/>
      </c>
      <c r="Y14">
        <f>HYPERLINK("https://klasma.github.io/Logging_1256/kartor_geotiff/S 2860-2024 georefererad karta.tif", "S 2860-2024")</f>
        <v/>
      </c>
      <c r="AA14">
        <f>HYPERLINK("https://klasma.github.io/Logging_1256/klagomål/S 2860-2024 FSC-klagomål.docx", "S 2860-2024")</f>
        <v/>
      </c>
      <c r="AB14">
        <f>HYPERLINK("https://klasma.github.io/Logging_1256/klagomålsmail/S 2860-2024 FSC-klagomål mail.docx", "S 2860-2024")</f>
        <v/>
      </c>
      <c r="AC14">
        <f>HYPERLINK("https://klasma.github.io/Logging_1256/tillsyn/S 2860-2024 tillsynsbegäran.docx", "S 2860-2024")</f>
        <v/>
      </c>
      <c r="AD14">
        <f>HYPERLINK("https://klasma.github.io/Logging_1256/tillsynsmail/S 2860-2024 tillsynsbegäran mail.docx", "S 2860-2024")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46274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Bokvårtlav
Havstulpanlav
Västlig hakmossa</t>
        </is>
      </c>
      <c r="W15">
        <f>HYPERLINK("https://klasma.github.io/Logging_1256/artfynd/S 378-2024 artfynd.xlsx", "S 378-2024")</f>
        <v/>
      </c>
      <c r="X15">
        <f>HYPERLINK("https://klasma.github.io/Logging_1256/kartor/S 378-2024 karta.png", "S 378-2024")</f>
        <v/>
      </c>
      <c r="Y15">
        <f>HYPERLINK("https://klasma.github.io/Logging_1256/kartor_geotiff/S 378-2024 georefererad karta.tif", "S 378-2024")</f>
        <v/>
      </c>
      <c r="AA15">
        <f>HYPERLINK("https://klasma.github.io/Logging_1256/klagomål/S 378-2024 FSC-klagomål.docx", "S 378-2024")</f>
        <v/>
      </c>
      <c r="AB15">
        <f>HYPERLINK("https://klasma.github.io/Logging_1256/klagomålsmail/S 378-2024 FSC-klagomål mail.docx", "S 378-2024")</f>
        <v/>
      </c>
      <c r="AC15">
        <f>HYPERLINK("https://klasma.github.io/Logging_1256/tillsyn/S 378-2024 tillsynsbegäran.docx", "S 378-2024")</f>
        <v/>
      </c>
      <c r="AD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46274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Barkkornlav
Fällmossa
Rostfläck</t>
        </is>
      </c>
      <c r="W16">
        <f>HYPERLINK("https://klasma.github.io/Logging_1256/artfynd/S 2831-2023 artfynd.xlsx", "S 2831-2023")</f>
        <v/>
      </c>
      <c r="X16">
        <f>HYPERLINK("https://klasma.github.io/Logging_1256/kartor/S 2831-2023 karta.png", "S 2831-2023")</f>
        <v/>
      </c>
      <c r="Y16">
        <f>HYPERLINK("https://klasma.github.io/Logging_1256/kartor_geotiff/S 2831-2023 georefererad karta.tif", "S 2831-2023")</f>
        <v/>
      </c>
      <c r="AA16">
        <f>HYPERLINK("https://klasma.github.io/Logging_1256/klagomål/S 2831-2023 FSC-klagomål.docx", "S 2831-2023")</f>
        <v/>
      </c>
      <c r="AB16">
        <f>HYPERLINK("https://klasma.github.io/Logging_1256/klagomålsmail/S 2831-2023 FSC-klagomål mail.docx", "S 2831-2023")</f>
        <v/>
      </c>
      <c r="AC16">
        <f>HYPERLINK("https://klasma.github.io/Logging_1256/tillsyn/S 2831-2023 tillsynsbegäran.docx", "S 2831-2023")</f>
        <v/>
      </c>
      <c r="AD16">
        <f>HYPERLINK("https://klasma.github.io/Logging_1256/tillsynsmail/S 2831-2023 tillsynsbegäran mail.docx", "S 2831-2023")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46274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46274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46274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46274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46274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46274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46274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46274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30000-2026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46205</v>
      </c>
      <c r="E25" s="1" t="n">
        <v>46274</v>
      </c>
      <c r="F25" t="inlineStr">
        <is>
          <t>SKÅNE LÄN</t>
        </is>
      </c>
      <c r="G25" t="inlineStr">
        <is>
          <t>ÖSTRA GÖINGE</t>
        </is>
      </c>
      <c r="I25" t="n">
        <v>5.5</v>
      </c>
      <c r="J25" t="n">
        <v>0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Skogsalm
Tibast</t>
        </is>
      </c>
      <c r="W25">
        <f>HYPERLINK("https://klasma.github.io/Logging_1256/artfynd/A 30000-2026 artfynd.xlsx", "A 30000-2026")</f>
        <v/>
      </c>
      <c r="X25">
        <f>HYPERLINK("https://klasma.github.io/Logging_1256/kartor/A 30000-2026 karta.png", "A 30000-2026")</f>
        <v/>
      </c>
      <c r="Y25">
        <f>HYPERLINK("https://klasma.github.io/Logging_1256/kartor_geotiff/A 30000-2026 georefererad karta.tif", "A 30000-2026")</f>
        <v/>
      </c>
      <c r="AA25">
        <f>HYPERLINK("https://klasma.github.io/Logging_1256/klagomål/A 30000-2026 FSC-klagomål.docx", "A 30000-2026")</f>
        <v/>
      </c>
      <c r="AB25">
        <f>HYPERLINK("https://klasma.github.io/Logging_1256/klagomålsmail/A 30000-2026 FSC-klagomål mail.docx", "A 30000-2026")</f>
        <v/>
      </c>
      <c r="AC25">
        <f>HYPERLINK("https://klasma.github.io/Logging_1256/tillsyn/A 30000-2026 tillsynsbegäran.docx", "A 30000-2026")</f>
        <v/>
      </c>
      <c r="AD25">
        <f>HYPERLINK("https://klasma.github.io/Logging_1256/tillsynsmail/A 30000-2026 tillsynsbegäran mail.docx", "A 30000-2026")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46274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46274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46274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46274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46274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46274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46274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46274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46274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46274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46274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46274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46274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46274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46274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46274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46274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46274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46274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40135-2022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46274</v>
      </c>
      <c r="F49" t="inlineStr">
        <is>
          <t>SKÅNE LÄN</t>
        </is>
      </c>
      <c r="G49" t="inlineStr">
        <is>
          <t>ÖSTRA GÖINGE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HYPERLINK("https://klasma.github.io/Logging_1256/artfynd/A 40135-2022 artfynd.xlsx", "A 40135-2022")</f>
        <v/>
      </c>
      <c r="X49">
        <f>HYPERLINK("https://klasma.github.io/Logging_1256/kartor/A 40135-2022 karta.png", "A 40135-2022")</f>
        <v/>
      </c>
      <c r="Y49">
        <f>HYPERLINK("https://klasma.github.io/Logging_1256/kartor_geotiff/A 40135-2022 georefererad karta.tif", "A 40135-2022")</f>
        <v/>
      </c>
      <c r="AA49">
        <f>HYPERLINK("https://klasma.github.io/Logging_1256/klagomål/A 40135-2022 FSC-klagomål.docx", "A 40135-2022")</f>
        <v/>
      </c>
      <c r="AB49">
        <f>HYPERLINK("https://klasma.github.io/Logging_1256/klagomålsmail/A 40135-2022 FSC-klagomål mail.docx", "A 40135-2022")</f>
        <v/>
      </c>
      <c r="AC49">
        <f>HYPERLINK("https://klasma.github.io/Logging_1256/tillsyn/A 40135-2022 tillsynsbegäran.docx", "A 40135-2022")</f>
        <v/>
      </c>
      <c r="AD49">
        <f>HYPERLINK("https://klasma.github.io/Logging_1256/tillsynsmail/A 40135-2022 tillsynsbegäran mail.docx", "A 40135-2022")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46274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46274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46274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46274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46274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46274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46274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46274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46274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46274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46274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46274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46274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46274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46274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46274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46274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46274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46274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46274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46274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46274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46274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46274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46274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46274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46274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46274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46274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46274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46274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46274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46274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46274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46274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44463</v>
      </c>
      <c r="E88" s="1" t="n">
        <v>46274</v>
      </c>
      <c r="F88" t="inlineStr">
        <is>
          <t>SKÅNE LÄN</t>
        </is>
      </c>
      <c r="G88" t="inlineStr">
        <is>
          <t>ÖSTRA GÖINGE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46274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46274</v>
      </c>
      <c r="F90" t="inlineStr">
        <is>
          <t>SKÅNE LÄN</t>
        </is>
      </c>
      <c r="G90" t="inlineStr">
        <is>
          <t>ÖSTRA GÖINGE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46274</v>
      </c>
      <c r="F91" t="inlineStr">
        <is>
          <t>SKÅNE LÄN</t>
        </is>
      </c>
      <c r="G91" t="inlineStr">
        <is>
          <t>ÖSTRA GÖINGE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46274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46274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46274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46274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46274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46274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46274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46274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46274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46274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46274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46274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46274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46274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46274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46274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46274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46274</v>
      </c>
      <c r="F109" t="inlineStr">
        <is>
          <t>SKÅNE LÄN</t>
        </is>
      </c>
      <c r="G109" t="inlineStr">
        <is>
          <t>ÖSTRA GÖINGE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46274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45142</v>
      </c>
      <c r="E111" s="1" t="n">
        <v>46274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46274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46274</v>
      </c>
      <c r="F113" t="inlineStr">
        <is>
          <t>SKÅNE LÄN</t>
        </is>
      </c>
      <c r="G113" t="inlineStr">
        <is>
          <t>ÖSTRA GÖINGE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69384-2021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44531</v>
      </c>
      <c r="E114" s="1" t="n">
        <v>46274</v>
      </c>
      <c r="F114" t="inlineStr">
        <is>
          <t>SKÅNE LÄN</t>
        </is>
      </c>
      <c r="G114" t="inlineStr">
        <is>
          <t>ÖSTRA GÖINGE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46274</v>
      </c>
      <c r="F115" t="inlineStr">
        <is>
          <t>SKÅNE LÄN</t>
        </is>
      </c>
      <c r="G115" t="inlineStr">
        <is>
          <t>ÖSTRA GÖINGE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46274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46274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45307</v>
      </c>
      <c r="E118" s="1" t="n">
        <v>46274</v>
      </c>
      <c r="F118" t="inlineStr">
        <is>
          <t>SKÅNE LÄN</t>
        </is>
      </c>
      <c r="G118" t="inlineStr">
        <is>
          <t>ÖSTRA GÖINGE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46274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46274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46274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46274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46274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46274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46274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46274</v>
      </c>
      <c r="F126" t="inlineStr">
        <is>
          <t>SKÅNE LÄN</t>
        </is>
      </c>
      <c r="G126" t="inlineStr">
        <is>
          <t>ÖSTRA GÖINGE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46274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46274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45727</v>
      </c>
      <c r="E129" s="1" t="n">
        <v>46274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46274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46274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46274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46274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46274</v>
      </c>
      <c r="F134" t="inlineStr">
        <is>
          <t>SKÅNE LÄN</t>
        </is>
      </c>
      <c r="G134" t="inlineStr">
        <is>
          <t>ÖSTRA GÖINGE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46274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46274</v>
      </c>
      <c r="F136" t="inlineStr">
        <is>
          <t>SKÅNE LÄN</t>
        </is>
      </c>
      <c r="G136" t="inlineStr">
        <is>
          <t>ÖSTRA GÖINGE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46274</v>
      </c>
      <c r="F137" t="inlineStr">
        <is>
          <t>SKÅNE LÄN</t>
        </is>
      </c>
      <c r="G137" t="inlineStr">
        <is>
          <t>ÖSTRA GÖINGE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45259</v>
      </c>
      <c r="E138" s="1" t="n">
        <v>46274</v>
      </c>
      <c r="F138" t="inlineStr">
        <is>
          <t>SKÅNE LÄN</t>
        </is>
      </c>
      <c r="G138" t="inlineStr">
        <is>
          <t>ÖSTRA GÖINGE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46274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46274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46274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46274</v>
      </c>
      <c r="F142" t="inlineStr">
        <is>
          <t>SKÅNE LÄN</t>
        </is>
      </c>
      <c r="G142" t="inlineStr">
        <is>
          <t>ÖSTRA GÖINGE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36324-2022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44803</v>
      </c>
      <c r="E143" s="1" t="n">
        <v>46274</v>
      </c>
      <c r="F143" t="inlineStr">
        <is>
          <t>SKÅNE LÄN</t>
        </is>
      </c>
      <c r="G143" t="inlineStr">
        <is>
          <t>ÖSTRA GÖINGE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44043-2023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46274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44915</v>
      </c>
      <c r="E145" s="1" t="n">
        <v>46274</v>
      </c>
      <c r="F145" t="inlineStr">
        <is>
          <t>SKÅNE LÄN</t>
        </is>
      </c>
      <c r="G145" t="inlineStr">
        <is>
          <t>ÖSTRA GÖINGE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57529-2022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44896</v>
      </c>
      <c r="E146" s="1" t="n">
        <v>46274</v>
      </c>
      <c r="F146" t="inlineStr">
        <is>
          <t>SKÅNE LÄN</t>
        </is>
      </c>
      <c r="G146" t="inlineStr">
        <is>
          <t>ÖSTRA GÖINGE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45475</v>
      </c>
      <c r="E147" s="1" t="n">
        <v>46274</v>
      </c>
      <c r="F147" t="inlineStr">
        <is>
          <t>SKÅNE LÄN</t>
        </is>
      </c>
      <c r="G147" t="inlineStr">
        <is>
          <t>ÖSTRA GÖINGE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46274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46274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46274</v>
      </c>
      <c r="F150" t="inlineStr">
        <is>
          <t>SKÅNE LÄN</t>
        </is>
      </c>
      <c r="G150" t="inlineStr">
        <is>
          <t>ÖSTRA GÖINGE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45227</v>
      </c>
      <c r="E151" s="1" t="n">
        <v>46274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46274</v>
      </c>
      <c r="F152" t="inlineStr">
        <is>
          <t>SKÅNE LÄN</t>
        </is>
      </c>
      <c r="G152" t="inlineStr">
        <is>
          <t>ÖSTRA GÖINGE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46274</v>
      </c>
      <c r="F153" t="inlineStr">
        <is>
          <t>SKÅNE LÄN</t>
        </is>
      </c>
      <c r="G153" t="inlineStr">
        <is>
          <t>ÖSTRA GÖINGE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46274</v>
      </c>
      <c r="F154" t="inlineStr">
        <is>
          <t>SKÅNE LÄN</t>
        </is>
      </c>
      <c r="G154" t="inlineStr">
        <is>
          <t>ÖSTRA GÖINGE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46274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35547-2023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45146</v>
      </c>
      <c r="E156" s="1" t="n">
        <v>46274</v>
      </c>
      <c r="F156" t="inlineStr">
        <is>
          <t>SKÅNE LÄN</t>
        </is>
      </c>
      <c r="G156" t="inlineStr">
        <is>
          <t>ÖSTRA GÖINGE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46274</v>
      </c>
      <c r="F157" t="inlineStr">
        <is>
          <t>SKÅNE LÄN</t>
        </is>
      </c>
      <c r="G157" t="inlineStr">
        <is>
          <t>ÖSTRA GÖINGE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46274</v>
      </c>
      <c r="F158" t="inlineStr">
        <is>
          <t>SKÅNE LÄN</t>
        </is>
      </c>
      <c r="G158" t="inlineStr">
        <is>
          <t>ÖSTRA GÖINGE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46274</v>
      </c>
      <c r="F159" t="inlineStr">
        <is>
          <t>SKÅNE LÄN</t>
        </is>
      </c>
      <c r="G159" t="inlineStr">
        <is>
          <t>ÖSTRA GÖINGE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46274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46274</v>
      </c>
      <c r="F161" t="inlineStr">
        <is>
          <t>SKÅNE LÄN</t>
        </is>
      </c>
      <c r="G161" t="inlineStr">
        <is>
          <t>ÖSTRA GÖINGE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46274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46274</v>
      </c>
      <c r="F163" t="inlineStr">
        <is>
          <t>SKÅNE LÄN</t>
        </is>
      </c>
      <c r="G163" t="inlineStr">
        <is>
          <t>ÖSTRA GÖINGE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46274</v>
      </c>
      <c r="F164" t="inlineStr">
        <is>
          <t>SKÅNE LÄN</t>
        </is>
      </c>
      <c r="G164" t="inlineStr">
        <is>
          <t>ÖSTRA GÖINGE</t>
        </is>
      </c>
      <c r="I164" t="n">
        <v>11.9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46274</v>
      </c>
      <c r="F165" t="inlineStr">
        <is>
          <t>SKÅNE LÄN</t>
        </is>
      </c>
      <c r="G165" t="inlineStr">
        <is>
          <t>ÖSTRA GÖINGE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46274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46274</v>
      </c>
      <c r="F167" t="inlineStr">
        <is>
          <t>SKÅNE LÄN</t>
        </is>
      </c>
      <c r="G167" t="inlineStr">
        <is>
          <t>ÖSTRA GÖINGE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6782-2022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46274</v>
      </c>
      <c r="F168" t="inlineStr">
        <is>
          <t>SKÅNE LÄN</t>
        </is>
      </c>
      <c r="G168" t="inlineStr">
        <is>
          <t>ÖSTRA GÖINGE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46274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46274</v>
      </c>
      <c r="F170" t="inlineStr">
        <is>
          <t>SKÅNE LÄN</t>
        </is>
      </c>
      <c r="G170" t="inlineStr">
        <is>
          <t>ÖSTRA GÖINGE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45422</v>
      </c>
      <c r="E171" s="1" t="n">
        <v>46274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46274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46274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46274</v>
      </c>
      <c r="F174" t="inlineStr">
        <is>
          <t>SKÅNE LÄN</t>
        </is>
      </c>
      <c r="G174" t="inlineStr">
        <is>
          <t>ÖSTRA GÖINGE</t>
        </is>
      </c>
      <c r="H174" t="inlineStr">
        <is>
          <t>Kyrkan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46274</v>
      </c>
      <c r="F175" t="inlineStr">
        <is>
          <t>SKÅNE LÄN</t>
        </is>
      </c>
      <c r="G175" t="inlineStr">
        <is>
          <t>ÖSTRA GÖINGE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44539</v>
      </c>
      <c r="E176" s="1" t="n">
        <v>46274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46274</v>
      </c>
      <c r="F177" t="inlineStr">
        <is>
          <t>SKÅNE LÄN</t>
        </is>
      </c>
      <c r="G177" t="inlineStr">
        <is>
          <t>ÖSTRA GÖINGE</t>
        </is>
      </c>
      <c r="H177" t="inlineStr">
        <is>
          <t>Kyrkan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46274</v>
      </c>
      <c r="F178" t="inlineStr">
        <is>
          <t>SKÅNE LÄN</t>
        </is>
      </c>
      <c r="G178" t="inlineStr">
        <is>
          <t>ÖSTRA GÖINGE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46274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46274</v>
      </c>
      <c r="F180" t="inlineStr">
        <is>
          <t>SKÅNE LÄN</t>
        </is>
      </c>
      <c r="G180" t="inlineStr">
        <is>
          <t>ÖSTRA GÖINGE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46279-2024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45581</v>
      </c>
      <c r="E181" s="1" t="n">
        <v>46274</v>
      </c>
      <c r="F181" t="inlineStr">
        <is>
          <t>SKÅNE LÄN</t>
        </is>
      </c>
      <c r="G181" t="inlineStr">
        <is>
          <t>ÖSTRA GÖINGE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46274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46274</v>
      </c>
      <c r="F183" t="inlineStr">
        <is>
          <t>SKÅNE LÄN</t>
        </is>
      </c>
      <c r="G183" t="inlineStr">
        <is>
          <t>ÖSTRA GÖINGE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46274</v>
      </c>
      <c r="F184" t="inlineStr">
        <is>
          <t>SKÅNE LÄN</t>
        </is>
      </c>
      <c r="G184" t="inlineStr">
        <is>
          <t>ÖSTRA GÖINGE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46274</v>
      </c>
      <c r="F185" t="inlineStr">
        <is>
          <t>SKÅNE LÄN</t>
        </is>
      </c>
      <c r="G185" t="inlineStr">
        <is>
          <t>ÖSTRA GÖINGE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46274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46274</v>
      </c>
      <c r="F187" t="inlineStr">
        <is>
          <t>SKÅNE LÄN</t>
        </is>
      </c>
      <c r="G187" t="inlineStr">
        <is>
          <t>ÖSTRA GÖINGE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45268</v>
      </c>
      <c r="E188" s="1" t="n">
        <v>46274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46274</v>
      </c>
      <c r="F189" t="inlineStr">
        <is>
          <t>SKÅNE LÄN</t>
        </is>
      </c>
      <c r="G189" t="inlineStr">
        <is>
          <t>ÖSTRA GÖINGE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46274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46274</v>
      </c>
      <c r="F191" t="inlineStr">
        <is>
          <t>SKÅNE LÄN</t>
        </is>
      </c>
      <c r="G191" t="inlineStr">
        <is>
          <t>ÖSTRA GÖINGE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46274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46274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46274</v>
      </c>
      <c r="F194" t="inlineStr">
        <is>
          <t>SKÅNE LÄN</t>
        </is>
      </c>
      <c r="G194" t="inlineStr">
        <is>
          <t>ÖSTRA GÖINGE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45569</v>
      </c>
      <c r="E195" s="1" t="n">
        <v>46274</v>
      </c>
      <c r="F195" t="inlineStr">
        <is>
          <t>SKÅNE LÄN</t>
        </is>
      </c>
      <c r="G195" t="inlineStr">
        <is>
          <t>ÖSTRA GÖINGE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45685</v>
      </c>
      <c r="E196" s="1" t="n">
        <v>46274</v>
      </c>
      <c r="F196" t="inlineStr">
        <is>
          <t>SKÅNE LÄN</t>
        </is>
      </c>
      <c r="G196" t="inlineStr">
        <is>
          <t>ÖSTRA GÖINGE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46274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46274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45410</v>
      </c>
      <c r="E199" s="1" t="n">
        <v>46274</v>
      </c>
      <c r="F199" t="inlineStr">
        <is>
          <t>SKÅNE LÄN</t>
        </is>
      </c>
      <c r="G199" t="inlineStr">
        <is>
          <t>ÖSTRA GÖINGE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21260-2026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46147</v>
      </c>
      <c r="E200" s="1" t="n">
        <v>46274</v>
      </c>
      <c r="F200" t="inlineStr">
        <is>
          <t>SKÅNE LÄN</t>
        </is>
      </c>
      <c r="G200" t="inlineStr">
        <is>
          <t>ÖSTRA GÖINGE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45935</v>
      </c>
      <c r="E201" s="1" t="n">
        <v>46274</v>
      </c>
      <c r="F201" t="inlineStr">
        <is>
          <t>SKÅNE LÄN</t>
        </is>
      </c>
      <c r="G201" t="inlineStr">
        <is>
          <t>ÖSTRA GÖINGE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46274</v>
      </c>
      <c r="F202" t="inlineStr">
        <is>
          <t>SKÅNE LÄN</t>
        </is>
      </c>
      <c r="G202" t="inlineStr">
        <is>
          <t>ÖSTRA GÖINGE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46274</v>
      </c>
      <c r="F203" t="inlineStr">
        <is>
          <t>SKÅNE LÄN</t>
        </is>
      </c>
      <c r="G203" t="inlineStr">
        <is>
          <t>ÖSTRA GÖINGE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46274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46274</v>
      </c>
      <c r="F205" t="inlineStr">
        <is>
          <t>SKÅNE LÄN</t>
        </is>
      </c>
      <c r="G205" t="inlineStr">
        <is>
          <t>ÖSTRA GÖINGE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46274</v>
      </c>
      <c r="F206" t="inlineStr">
        <is>
          <t>SKÅNE LÄN</t>
        </is>
      </c>
      <c r="G206" t="inlineStr">
        <is>
          <t>ÖSTRA GÖINGE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45172</v>
      </c>
      <c r="E207" s="1" t="n">
        <v>46274</v>
      </c>
      <c r="F207" t="inlineStr">
        <is>
          <t>SKÅNE LÄN</t>
        </is>
      </c>
      <c r="G207" t="inlineStr">
        <is>
          <t>ÖSTRA GÖINGE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46274</v>
      </c>
      <c r="F208" t="inlineStr">
        <is>
          <t>SKÅNE LÄN</t>
        </is>
      </c>
      <c r="G208" t="inlineStr">
        <is>
          <t>ÖSTRA GÖINGE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46274</v>
      </c>
      <c r="F209" t="inlineStr">
        <is>
          <t>SKÅNE LÄN</t>
        </is>
      </c>
      <c r="G209" t="inlineStr">
        <is>
          <t>ÖSTRA GÖINGE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46274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45405</v>
      </c>
      <c r="E211" s="1" t="n">
        <v>46274</v>
      </c>
      <c r="F211" t="inlineStr">
        <is>
          <t>SKÅNE LÄN</t>
        </is>
      </c>
      <c r="G211" t="inlineStr">
        <is>
          <t>ÖSTRA GÖINGE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45686</v>
      </c>
      <c r="E212" s="1" t="n">
        <v>46274</v>
      </c>
      <c r="F212" t="inlineStr">
        <is>
          <t>SKÅNE LÄN</t>
        </is>
      </c>
      <c r="G212" t="inlineStr">
        <is>
          <t>ÖSTRA GÖINGE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46274</v>
      </c>
      <c r="F213" t="inlineStr">
        <is>
          <t>SKÅNE LÄN</t>
        </is>
      </c>
      <c r="G213" t="inlineStr">
        <is>
          <t>ÖSTRA GÖINGE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46274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46274</v>
      </c>
      <c r="F215" t="inlineStr">
        <is>
          <t>SKÅNE LÄN</t>
        </is>
      </c>
      <c r="G215" t="inlineStr">
        <is>
          <t>ÖSTRA GÖINGE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46274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61137-2024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46274</v>
      </c>
      <c r="F217" t="inlineStr">
        <is>
          <t>SKÅNE LÄN</t>
        </is>
      </c>
      <c r="G217" t="inlineStr">
        <is>
          <t>ÖSTRA GÖINGE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46274</v>
      </c>
      <c r="F218" t="inlineStr">
        <is>
          <t>SKÅNE LÄN</t>
        </is>
      </c>
      <c r="G218" t="inlineStr">
        <is>
          <t>ÖSTRA GÖINGE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46274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46274</v>
      </c>
      <c r="F220" t="inlineStr">
        <is>
          <t>SKÅNE LÄN</t>
        </is>
      </c>
      <c r="G220" t="inlineStr">
        <is>
          <t>ÖSTRA GÖINGE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46274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46274</v>
      </c>
      <c r="F222" t="inlineStr">
        <is>
          <t>SKÅNE LÄN</t>
        </is>
      </c>
      <c r="G222" t="inlineStr">
        <is>
          <t>ÖSTRA GÖINGE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46167</v>
      </c>
      <c r="E223" s="1" t="n">
        <v>46274</v>
      </c>
      <c r="F223" t="inlineStr">
        <is>
          <t>SKÅNE LÄN</t>
        </is>
      </c>
      <c r="G223" t="inlineStr">
        <is>
          <t>ÖSTRA GÖINGE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55310-2025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45970</v>
      </c>
      <c r="E224" s="1" t="n">
        <v>46274</v>
      </c>
      <c r="F224" t="inlineStr">
        <is>
          <t>SKÅNE LÄN</t>
        </is>
      </c>
      <c r="G224" t="inlineStr">
        <is>
          <t>ÖSTRA GÖINGE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46274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46274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46274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46274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46274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46274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46274</v>
      </c>
      <c r="F231" t="inlineStr">
        <is>
          <t>SKÅNE LÄN</t>
        </is>
      </c>
      <c r="G231" t="inlineStr">
        <is>
          <t>ÖSTRA GÖINGE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46274</v>
      </c>
      <c r="F232" t="inlineStr">
        <is>
          <t>SKÅNE LÄN</t>
        </is>
      </c>
      <c r="G232" t="inlineStr">
        <is>
          <t>ÖSTRA GÖINGE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52522-2021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44466</v>
      </c>
      <c r="E233" s="1" t="n">
        <v>46274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46274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7387-2022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46274</v>
      </c>
      <c r="F235" t="inlineStr">
        <is>
          <t>SKÅNE LÄN</t>
        </is>
      </c>
      <c r="G235" t="inlineStr">
        <is>
          <t>ÖSTRA GÖINGE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46274</v>
      </c>
      <c r="F236" t="inlineStr">
        <is>
          <t>SKÅNE LÄN</t>
        </is>
      </c>
      <c r="G236" t="inlineStr">
        <is>
          <t>ÖSTRA GÖINGE</t>
        </is>
      </c>
      <c r="I236" t="n">
        <v>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46274</v>
      </c>
      <c r="F237" t="inlineStr">
        <is>
          <t>SKÅNE LÄN</t>
        </is>
      </c>
      <c r="G237" t="inlineStr">
        <is>
          <t>ÖSTRA GÖINGE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46274</v>
      </c>
      <c r="F238" t="inlineStr">
        <is>
          <t>SKÅNE LÄN</t>
        </is>
      </c>
      <c r="G238" t="inlineStr">
        <is>
          <t>ÖSTRA GÖINGE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45139</v>
      </c>
      <c r="E239" s="1" t="n">
        <v>46274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46274</v>
      </c>
      <c r="F240" t="inlineStr">
        <is>
          <t>SKÅNE LÄN</t>
        </is>
      </c>
      <c r="G240" t="inlineStr">
        <is>
          <t>ÖSTRA GÖINGE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46274</v>
      </c>
      <c r="F241" t="inlineStr">
        <is>
          <t>SKÅNE LÄN</t>
        </is>
      </c>
      <c r="G241" t="inlineStr">
        <is>
          <t>ÖSTRA GÖINGE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46274</v>
      </c>
      <c r="F242" t="inlineStr">
        <is>
          <t>SKÅNE LÄN</t>
        </is>
      </c>
      <c r="G242" t="inlineStr">
        <is>
          <t>ÖSTRA GÖINGE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44585</v>
      </c>
      <c r="E243" s="1" t="n">
        <v>46274</v>
      </c>
      <c r="F243" t="inlineStr">
        <is>
          <t>SKÅNE LÄN</t>
        </is>
      </c>
      <c r="G243" t="inlineStr">
        <is>
          <t>ÖSTRA GÖINGE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46274</v>
      </c>
      <c r="F244" t="inlineStr">
        <is>
          <t>SKÅNE LÄN</t>
        </is>
      </c>
      <c r="G244" t="inlineStr">
        <is>
          <t>ÖSTRA GÖINGE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46274</v>
      </c>
      <c r="F245" t="inlineStr">
        <is>
          <t>SKÅNE LÄN</t>
        </is>
      </c>
      <c r="G245" t="inlineStr">
        <is>
          <t>ÖSTRA GÖINGE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46274</v>
      </c>
      <c r="F246" t="inlineStr">
        <is>
          <t>SKÅNE LÄN</t>
        </is>
      </c>
      <c r="G246" t="inlineStr">
        <is>
          <t>ÖSTRA GÖINGE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46274</v>
      </c>
      <c r="F247" t="inlineStr">
        <is>
          <t>SKÅNE LÄN</t>
        </is>
      </c>
      <c r="G247" t="inlineStr">
        <is>
          <t>ÖSTRA GÖINGE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46274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69383-2021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46274</v>
      </c>
      <c r="F249" t="inlineStr">
        <is>
          <t>SKÅNE LÄN</t>
        </is>
      </c>
      <c r="G249" t="inlineStr">
        <is>
          <t>ÖSTRA GÖINGE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69390-2021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44531</v>
      </c>
      <c r="E250" s="1" t="n">
        <v>46274</v>
      </c>
      <c r="F250" t="inlineStr">
        <is>
          <t>SKÅNE LÄN</t>
        </is>
      </c>
      <c r="G250" t="inlineStr">
        <is>
          <t>ÖSTRA GÖINGE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62052-2022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46274</v>
      </c>
      <c r="F251" t="inlineStr">
        <is>
          <t>SKÅNE LÄN</t>
        </is>
      </c>
      <c r="G251" t="inlineStr">
        <is>
          <t>ÖSTRA GÖINGE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46274</v>
      </c>
      <c r="F252" t="inlineStr">
        <is>
          <t>SKÅNE LÄN</t>
        </is>
      </c>
      <c r="G252" t="inlineStr">
        <is>
          <t>ÖSTRA GÖINGE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46274</v>
      </c>
      <c r="F253" t="inlineStr">
        <is>
          <t>SKÅNE LÄN</t>
        </is>
      </c>
      <c r="G253" t="inlineStr">
        <is>
          <t>ÖSTRA GÖINGE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64181-2023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45279</v>
      </c>
      <c r="E254" s="1" t="n">
        <v>46274</v>
      </c>
      <c r="F254" t="inlineStr">
        <is>
          <t>SKÅNE LÄN</t>
        </is>
      </c>
      <c r="G254" t="inlineStr">
        <is>
          <t>ÖSTRA GÖINGE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46274</v>
      </c>
      <c r="F255" t="inlineStr">
        <is>
          <t>SKÅNE LÄN</t>
        </is>
      </c>
      <c r="G255" t="inlineStr">
        <is>
          <t>ÖSTRA GÖINGE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46274</v>
      </c>
      <c r="F256" t="inlineStr">
        <is>
          <t>SKÅNE LÄN</t>
        </is>
      </c>
      <c r="G256" t="inlineStr">
        <is>
          <t>ÖSTRA GÖINGE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46274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46274</v>
      </c>
      <c r="F258" t="inlineStr">
        <is>
          <t>SKÅNE LÄN</t>
        </is>
      </c>
      <c r="G258" t="inlineStr">
        <is>
          <t>ÖSTRA GÖINGE</t>
        </is>
      </c>
      <c r="I258" t="n">
        <v>34.5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46274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46182</v>
      </c>
      <c r="E260" s="1" t="n">
        <v>46274</v>
      </c>
      <c r="F260" t="inlineStr">
        <is>
          <t>SKÅNE LÄN</t>
        </is>
      </c>
      <c r="G260" t="inlineStr">
        <is>
          <t>ÖSTRA GÖINGE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46274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46274</v>
      </c>
      <c r="F262" t="inlineStr">
        <is>
          <t>SKÅNE LÄN</t>
        </is>
      </c>
      <c r="G262" t="inlineStr">
        <is>
          <t>ÖSTRA GÖINGE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46274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45310</v>
      </c>
      <c r="E264" s="1" t="n">
        <v>46274</v>
      </c>
      <c r="F264" t="inlineStr">
        <is>
          <t>SKÅNE LÄN</t>
        </is>
      </c>
      <c r="G264" t="inlineStr">
        <is>
          <t>ÖSTRA GÖINGE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46274</v>
      </c>
      <c r="F265" t="inlineStr">
        <is>
          <t>SKÅNE LÄN</t>
        </is>
      </c>
      <c r="G265" t="inlineStr">
        <is>
          <t>ÖSTRA GÖINGE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46274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46274</v>
      </c>
      <c r="F267" t="inlineStr">
        <is>
          <t>SKÅNE LÄN</t>
        </is>
      </c>
      <c r="G267" t="inlineStr">
        <is>
          <t>ÖSTRA GÖINGE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46274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46274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46274</v>
      </c>
      <c r="F270" t="inlineStr">
        <is>
          <t>SKÅNE LÄN</t>
        </is>
      </c>
      <c r="G270" t="inlineStr">
        <is>
          <t>ÖSTRA GÖINGE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46274</v>
      </c>
      <c r="F271" t="inlineStr">
        <is>
          <t>SKÅNE LÄN</t>
        </is>
      </c>
      <c r="G271" t="inlineStr">
        <is>
          <t>ÖSTRA GÖINGE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46274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46274</v>
      </c>
      <c r="F273" t="inlineStr">
        <is>
          <t>SKÅNE LÄN</t>
        </is>
      </c>
      <c r="G273" t="inlineStr">
        <is>
          <t>ÖSTRA GÖINGE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46274</v>
      </c>
      <c r="F274" t="inlineStr">
        <is>
          <t>SKÅNE LÄN</t>
        </is>
      </c>
      <c r="G274" t="inlineStr">
        <is>
          <t>ÖSTRA GÖINGE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46274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44977</v>
      </c>
      <c r="E276" s="1" t="n">
        <v>46274</v>
      </c>
      <c r="F276" t="inlineStr">
        <is>
          <t>SKÅNE LÄN</t>
        </is>
      </c>
      <c r="G276" t="inlineStr">
        <is>
          <t>ÖSTRA GÖINGE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46274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45239</v>
      </c>
      <c r="E278" s="1" t="n">
        <v>46274</v>
      </c>
      <c r="F278" t="inlineStr">
        <is>
          <t>SKÅNE LÄN</t>
        </is>
      </c>
      <c r="G278" t="inlineStr">
        <is>
          <t>ÖSTRA GÖINGE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46274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46274</v>
      </c>
      <c r="F280" t="inlineStr">
        <is>
          <t>SKÅNE LÄN</t>
        </is>
      </c>
      <c r="G280" t="inlineStr">
        <is>
          <t>ÖSTRA GÖINGE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44873</v>
      </c>
      <c r="E281" s="1" t="n">
        <v>46274</v>
      </c>
      <c r="F281" t="inlineStr">
        <is>
          <t>SKÅNE LÄN</t>
        </is>
      </c>
      <c r="G281" t="inlineStr">
        <is>
          <t>ÖSTRA GÖINGE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46274</v>
      </c>
      <c r="F282" t="inlineStr">
        <is>
          <t>SKÅNE LÄN</t>
        </is>
      </c>
      <c r="G282" t="inlineStr">
        <is>
          <t>ÖSTRA GÖINGE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46274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46274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46241</v>
      </c>
      <c r="E285" s="1" t="n">
        <v>46274</v>
      </c>
      <c r="F285" t="inlineStr">
        <is>
          <t>SKÅNE LÄN</t>
        </is>
      </c>
      <c r="G285" t="inlineStr">
        <is>
          <t>ÖSTRA GÖINGE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46274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46274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46274</v>
      </c>
      <c r="F288" t="inlineStr">
        <is>
          <t>SKÅNE LÄN</t>
        </is>
      </c>
      <c r="G288" t="inlineStr">
        <is>
          <t>ÖSTRA GÖINGE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46274</v>
      </c>
      <c r="F289" t="inlineStr">
        <is>
          <t>SKÅNE LÄN</t>
        </is>
      </c>
      <c r="G289" t="inlineStr">
        <is>
          <t>ÖSTRA GÖINGE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46274</v>
      </c>
      <c r="F290" t="inlineStr">
        <is>
          <t>SKÅNE LÄN</t>
        </is>
      </c>
      <c r="G290" t="inlineStr">
        <is>
          <t>ÖSTRA GÖINGE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44459</v>
      </c>
      <c r="E291" s="1" t="n">
        <v>46274</v>
      </c>
      <c r="F291" t="inlineStr">
        <is>
          <t>SKÅNE LÄN</t>
        </is>
      </c>
      <c r="G291" t="inlineStr">
        <is>
          <t>ÖSTRA GÖINGE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46274</v>
      </c>
      <c r="F292" t="inlineStr">
        <is>
          <t>SKÅNE LÄN</t>
        </is>
      </c>
      <c r="G292" t="inlineStr">
        <is>
          <t>ÖSTRA GÖINGE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46274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46274</v>
      </c>
      <c r="F294" t="inlineStr">
        <is>
          <t>SKÅNE LÄN</t>
        </is>
      </c>
      <c r="G294" t="inlineStr">
        <is>
          <t>ÖSTRA GÖINGE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66526-2021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44519</v>
      </c>
      <c r="E295" s="1" t="n">
        <v>46274</v>
      </c>
      <c r="F295" t="inlineStr">
        <is>
          <t>SKÅNE LÄN</t>
        </is>
      </c>
      <c r="G295" t="inlineStr">
        <is>
          <t>ÖSTRA GÖINGE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44929</v>
      </c>
      <c r="E296" s="1" t="n">
        <v>46274</v>
      </c>
      <c r="F296" t="inlineStr">
        <is>
          <t>SKÅNE LÄN</t>
        </is>
      </c>
      <c r="G296" t="inlineStr">
        <is>
          <t>ÖSTRA GÖINGE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46274</v>
      </c>
      <c r="F297" t="inlineStr">
        <is>
          <t>SKÅNE LÄN</t>
        </is>
      </c>
      <c r="G297" t="inlineStr">
        <is>
          <t>ÖSTRA GÖINGE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45386</v>
      </c>
      <c r="E298" s="1" t="n">
        <v>46274</v>
      </c>
      <c r="F298" t="inlineStr">
        <is>
          <t>SKÅNE LÄN</t>
        </is>
      </c>
      <c r="G298" t="inlineStr">
        <is>
          <t>ÖSTRA GÖINGE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30111-2026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46206</v>
      </c>
      <c r="E299" s="1" t="n">
        <v>46274</v>
      </c>
      <c r="F299" t="inlineStr">
        <is>
          <t>SKÅNE LÄN</t>
        </is>
      </c>
      <c r="G299" t="inlineStr">
        <is>
          <t>ÖSTRA GÖINGE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46274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44686</v>
      </c>
      <c r="E301" s="1" t="n">
        <v>46274</v>
      </c>
      <c r="F301" t="inlineStr">
        <is>
          <t>SKÅNE LÄN</t>
        </is>
      </c>
      <c r="G301" t="inlineStr">
        <is>
          <t>ÖSTRA GÖINGE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45435</v>
      </c>
      <c r="E302" s="1" t="n">
        <v>46274</v>
      </c>
      <c r="F302" t="inlineStr">
        <is>
          <t>SKÅNE LÄN</t>
        </is>
      </c>
      <c r="G302" t="inlineStr">
        <is>
          <t>ÖSTRA GÖINGE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29856-2026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46205</v>
      </c>
      <c r="E303" s="1" t="n">
        <v>46274</v>
      </c>
      <c r="F303" t="inlineStr">
        <is>
          <t>SKÅNE LÄN</t>
        </is>
      </c>
      <c r="G303" t="inlineStr">
        <is>
          <t>ÖSTRA GÖINGE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46274</v>
      </c>
      <c r="F304" t="inlineStr">
        <is>
          <t>SKÅNE LÄN</t>
        </is>
      </c>
      <c r="G304" t="inlineStr">
        <is>
          <t>ÖSTRA GÖINGE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46274</v>
      </c>
      <c r="F305" t="inlineStr">
        <is>
          <t>SKÅNE LÄN</t>
        </is>
      </c>
      <c r="G305" t="inlineStr">
        <is>
          <t>ÖSTRA GÖINGE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7057-2026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46057</v>
      </c>
      <c r="E306" s="1" t="n">
        <v>46274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46274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46274</v>
      </c>
      <c r="F308" t="inlineStr">
        <is>
          <t>SKÅNE LÄN</t>
        </is>
      </c>
      <c r="G308" t="inlineStr">
        <is>
          <t>ÖSTRA GÖINGE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46274</v>
      </c>
      <c r="F309" t="inlineStr">
        <is>
          <t>SKÅNE LÄN</t>
        </is>
      </c>
      <c r="G309" t="inlineStr">
        <is>
          <t>ÖSTRA GÖINGE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46274</v>
      </c>
      <c r="F310" t="inlineStr">
        <is>
          <t>SKÅNE LÄN</t>
        </is>
      </c>
      <c r="G310" t="inlineStr">
        <is>
          <t>ÖSTRA GÖINGE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45278</v>
      </c>
      <c r="E311" s="1" t="n">
        <v>46274</v>
      </c>
      <c r="F311" t="inlineStr">
        <is>
          <t>SKÅNE LÄN</t>
        </is>
      </c>
      <c r="G311" t="inlineStr">
        <is>
          <t>ÖSTRA GÖINGE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42192-2023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45179</v>
      </c>
      <c r="E312" s="1" t="n">
        <v>46274</v>
      </c>
      <c r="F312" t="inlineStr">
        <is>
          <t>SKÅNE LÄN</t>
        </is>
      </c>
      <c r="G312" t="inlineStr">
        <is>
          <t>ÖSTRA GÖINGE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46274</v>
      </c>
      <c r="F313" t="inlineStr">
        <is>
          <t>SKÅNE LÄN</t>
        </is>
      </c>
      <c r="G313" t="inlineStr">
        <is>
          <t>ÖSTRA GÖINGE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46274</v>
      </c>
      <c r="F314" t="inlineStr">
        <is>
          <t>SKÅNE LÄN</t>
        </is>
      </c>
      <c r="G314" t="inlineStr">
        <is>
          <t>ÖSTRA GÖINGE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44910</v>
      </c>
      <c r="E315" s="1" t="n">
        <v>46274</v>
      </c>
      <c r="F315" t="inlineStr">
        <is>
          <t>SKÅNE LÄN</t>
        </is>
      </c>
      <c r="G315" t="inlineStr">
        <is>
          <t>ÖSTRA GÖINGE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46274</v>
      </c>
      <c r="F316" t="inlineStr">
        <is>
          <t>SKÅNE LÄN</t>
        </is>
      </c>
      <c r="G316" t="inlineStr">
        <is>
          <t>ÖSTRA GÖINGE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46274</v>
      </c>
      <c r="F317" t="inlineStr">
        <is>
          <t>SKÅNE LÄN</t>
        </is>
      </c>
      <c r="G317" t="inlineStr">
        <is>
          <t>ÖSTRA GÖINGE</t>
        </is>
      </c>
      <c r="I317" t="n">
        <v>12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46274</v>
      </c>
      <c r="F318" t="inlineStr">
        <is>
          <t>SKÅNE LÄN</t>
        </is>
      </c>
      <c r="G318" t="inlineStr">
        <is>
          <t>ÖSTRA GÖINGE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46274</v>
      </c>
      <c r="F319" t="inlineStr">
        <is>
          <t>SKÅNE LÄN</t>
        </is>
      </c>
      <c r="G319" t="inlineStr">
        <is>
          <t>ÖSTRA GÖINGE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46274</v>
      </c>
      <c r="F320" t="inlineStr">
        <is>
          <t>SKÅNE LÄN</t>
        </is>
      </c>
      <c r="G320" t="inlineStr">
        <is>
          <t>ÖSTRA GÖINGE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46274</v>
      </c>
      <c r="F321" t="inlineStr">
        <is>
          <t>SKÅNE LÄN</t>
        </is>
      </c>
      <c r="G321" t="inlineStr">
        <is>
          <t>ÖSTRA GÖINGE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45856</v>
      </c>
      <c r="E322" s="1" t="n">
        <v>46274</v>
      </c>
      <c r="F322" t="inlineStr">
        <is>
          <t>SKÅNE LÄN</t>
        </is>
      </c>
      <c r="G322" t="inlineStr">
        <is>
          <t>ÖSTRA GÖINGE</t>
        </is>
      </c>
      <c r="I322" t="n">
        <v>11.9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46274</v>
      </c>
      <c r="F323" t="inlineStr">
        <is>
          <t>SKÅNE LÄN</t>
        </is>
      </c>
      <c r="G323" t="inlineStr">
        <is>
          <t>ÖSTRA GÖINGE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46274</v>
      </c>
      <c r="F324" t="inlineStr">
        <is>
          <t>SKÅNE LÄN</t>
        </is>
      </c>
      <c r="G324" t="inlineStr">
        <is>
          <t>ÖSTRA GÖINGE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46274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34840-2026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46258</v>
      </c>
      <c r="E326" s="1" t="n">
        <v>46274</v>
      </c>
      <c r="F326" t="inlineStr">
        <is>
          <t>SKÅNE LÄN</t>
        </is>
      </c>
      <c r="G326" t="inlineStr">
        <is>
          <t>ÖSTRA GÖINGE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46274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46274</v>
      </c>
      <c r="F328" t="inlineStr">
        <is>
          <t>SKÅNE LÄN</t>
        </is>
      </c>
      <c r="G328" t="inlineStr">
        <is>
          <t>ÖSTRA GÖINGE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45349</v>
      </c>
      <c r="E329" s="1" t="n">
        <v>46274</v>
      </c>
      <c r="F329" t="inlineStr">
        <is>
          <t>SKÅNE LÄN</t>
        </is>
      </c>
      <c r="G329" t="inlineStr">
        <is>
          <t>ÖSTRA GÖINGE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9537-2023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44981</v>
      </c>
      <c r="E330" s="1" t="n">
        <v>46274</v>
      </c>
      <c r="F330" t="inlineStr">
        <is>
          <t>SKÅNE LÄN</t>
        </is>
      </c>
      <c r="G330" t="inlineStr">
        <is>
          <t>ÖSTRA GÖINGE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46274</v>
      </c>
      <c r="F331" t="inlineStr">
        <is>
          <t>SKÅNE LÄN</t>
        </is>
      </c>
      <c r="G331" t="inlineStr">
        <is>
          <t>ÖSTRA GÖINGE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45483</v>
      </c>
      <c r="E332" s="1" t="n">
        <v>46274</v>
      </c>
      <c r="F332" t="inlineStr">
        <is>
          <t>SKÅNE LÄN</t>
        </is>
      </c>
      <c r="G332" t="inlineStr">
        <is>
          <t>ÖSTRA GÖINGE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46274</v>
      </c>
      <c r="F333" t="inlineStr">
        <is>
          <t>SKÅNE LÄN</t>
        </is>
      </c>
      <c r="G333" t="inlineStr">
        <is>
          <t>ÖSTRA GÖINGE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46274</v>
      </c>
      <c r="F334" t="inlineStr">
        <is>
          <t>SKÅNE LÄN</t>
        </is>
      </c>
      <c r="G334" t="inlineStr">
        <is>
          <t>ÖSTRA GÖINGE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46274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74142-2021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46274</v>
      </c>
      <c r="F336" t="inlineStr">
        <is>
          <t>SKÅNE LÄN</t>
        </is>
      </c>
      <c r="G336" t="inlineStr">
        <is>
          <t>ÖSTRA GÖINGE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55490-2022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44887</v>
      </c>
      <c r="E337" s="1" t="n">
        <v>46274</v>
      </c>
      <c r="F337" t="inlineStr">
        <is>
          <t>SKÅNE LÄN</t>
        </is>
      </c>
      <c r="G337" t="inlineStr">
        <is>
          <t>ÖSTRA GÖINGE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46274</v>
      </c>
      <c r="F338" t="inlineStr">
        <is>
          <t>SKÅNE LÄN</t>
        </is>
      </c>
      <c r="G338" t="inlineStr">
        <is>
          <t>ÖSTRA GÖINGE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19297-2026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46274</v>
      </c>
      <c r="F339" t="inlineStr">
        <is>
          <t>SKÅNE LÄN</t>
        </is>
      </c>
      <c r="G339" t="inlineStr">
        <is>
          <t>ÖSTRA GÖINGE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46274</v>
      </c>
      <c r="F340" t="inlineStr">
        <is>
          <t>SKÅNE LÄN</t>
        </is>
      </c>
      <c r="G340" t="inlineStr">
        <is>
          <t>ÖSTRA GÖINGE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46274</v>
      </c>
      <c r="F341" t="inlineStr">
        <is>
          <t>SKÅNE LÄN</t>
        </is>
      </c>
      <c r="G341" t="inlineStr">
        <is>
          <t>ÖSTRA GÖINGE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46274</v>
      </c>
      <c r="F342" t="inlineStr">
        <is>
          <t>SKÅNE LÄN</t>
        </is>
      </c>
      <c r="G342" t="inlineStr">
        <is>
          <t>ÖSTRA GÖINGE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46274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46274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46274</v>
      </c>
      <c r="F345" t="inlineStr">
        <is>
          <t>SKÅNE LÄN</t>
        </is>
      </c>
      <c r="G345" t="inlineStr">
        <is>
          <t>ÖSTRA GÖINGE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46133</v>
      </c>
      <c r="E346" s="1" t="n">
        <v>46274</v>
      </c>
      <c r="F346" t="inlineStr">
        <is>
          <t>SKÅNE LÄN</t>
        </is>
      </c>
      <c r="G346" t="inlineStr">
        <is>
          <t>ÖSTRA GÖINGE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45256</v>
      </c>
      <c r="E347" s="1" t="n">
        <v>46274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46274</v>
      </c>
      <c r="F348" t="inlineStr">
        <is>
          <t>SKÅNE LÄN</t>
        </is>
      </c>
      <c r="G348" t="inlineStr">
        <is>
          <t>ÖSTRA GÖINGE</t>
        </is>
      </c>
      <c r="I348" t="n">
        <v>15.4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45330</v>
      </c>
      <c r="E349" s="1" t="n">
        <v>46274</v>
      </c>
      <c r="F349" t="inlineStr">
        <is>
          <t>SKÅNE LÄN</t>
        </is>
      </c>
      <c r="G349" t="inlineStr">
        <is>
          <t>ÖSTRA GÖINGE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44539</v>
      </c>
      <c r="E350" s="1" t="n">
        <v>46274</v>
      </c>
      <c r="F350" t="inlineStr">
        <is>
          <t>SKÅNE LÄN</t>
        </is>
      </c>
      <c r="G350" t="inlineStr">
        <is>
          <t>ÖSTRA GÖINGE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46274</v>
      </c>
      <c r="F351" t="inlineStr">
        <is>
          <t>SKÅNE LÄN</t>
        </is>
      </c>
      <c r="G351" t="inlineStr">
        <is>
          <t>ÖSTRA GÖINGE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46274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46274</v>
      </c>
      <c r="F353" t="inlineStr">
        <is>
          <t>SKÅNE LÄN</t>
        </is>
      </c>
      <c r="G353" t="inlineStr">
        <is>
          <t>ÖSTRA GÖINGE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46274</v>
      </c>
      <c r="F354" t="inlineStr">
        <is>
          <t>SKÅNE LÄN</t>
        </is>
      </c>
      <c r="G354" t="inlineStr">
        <is>
          <t>ÖSTRA GÖINGE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45331</v>
      </c>
      <c r="E355" s="1" t="n">
        <v>46274</v>
      </c>
      <c r="F355" t="inlineStr">
        <is>
          <t>SKÅNE LÄN</t>
        </is>
      </c>
      <c r="G355" t="inlineStr">
        <is>
          <t>ÖSTRA GÖINGE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46274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46274</v>
      </c>
      <c r="F357" t="inlineStr">
        <is>
          <t>SKÅNE LÄN</t>
        </is>
      </c>
      <c r="G357" t="inlineStr">
        <is>
          <t>ÖSTRA GÖINGE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44593</v>
      </c>
      <c r="E358" s="1" t="n">
        <v>46274</v>
      </c>
      <c r="F358" t="inlineStr">
        <is>
          <t>SKÅNE LÄN</t>
        </is>
      </c>
      <c r="G358" t="inlineStr">
        <is>
          <t>ÖSTRA GÖINGE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46274</v>
      </c>
      <c r="F359" t="inlineStr">
        <is>
          <t>SKÅNE LÄN</t>
        </is>
      </c>
      <c r="G359" t="inlineStr">
        <is>
          <t>ÖSTRA GÖINGE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46274</v>
      </c>
      <c r="F360" t="inlineStr">
        <is>
          <t>SKÅNE LÄN</t>
        </is>
      </c>
      <c r="G360" t="inlineStr">
        <is>
          <t>ÖSTRA GÖINGE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48952-2022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44859</v>
      </c>
      <c r="E361" s="1" t="n">
        <v>46274</v>
      </c>
      <c r="F361" t="inlineStr">
        <is>
          <t>SKÅNE LÄN</t>
        </is>
      </c>
      <c r="G361" t="inlineStr">
        <is>
          <t>ÖSTRA GÖINGE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46274</v>
      </c>
      <c r="F362" t="inlineStr">
        <is>
          <t>SKÅNE LÄN</t>
        </is>
      </c>
      <c r="G362" t="inlineStr">
        <is>
          <t>ÖSTRA GÖINGE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44840</v>
      </c>
      <c r="E363" s="1" t="n">
        <v>46274</v>
      </c>
      <c r="F363" t="inlineStr">
        <is>
          <t>SKÅNE LÄN</t>
        </is>
      </c>
      <c r="G363" t="inlineStr">
        <is>
          <t>ÖSTRA GÖINGE</t>
        </is>
      </c>
      <c r="I363" t="n">
        <v>8.300000000000001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50896-2021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44460</v>
      </c>
      <c r="E364" s="1" t="n">
        <v>46274</v>
      </c>
      <c r="F364" t="inlineStr">
        <is>
          <t>SKÅNE LÄN</t>
        </is>
      </c>
      <c r="G364" t="inlineStr">
        <is>
          <t>ÖSTRA GÖINGE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50927-2021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44459</v>
      </c>
      <c r="E365" s="1" t="n">
        <v>46274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46274</v>
      </c>
      <c r="F366" t="inlineStr">
        <is>
          <t>SKÅNE LÄN</t>
        </is>
      </c>
      <c r="G366" t="inlineStr">
        <is>
          <t>ÖSTRA GÖINGE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36921-2024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45538</v>
      </c>
      <c r="E367" s="1" t="n">
        <v>46274</v>
      </c>
      <c r="F367" t="inlineStr">
        <is>
          <t>SKÅNE LÄN</t>
        </is>
      </c>
      <c r="G367" t="inlineStr">
        <is>
          <t>ÖSTRA GÖINGE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46274</v>
      </c>
      <c r="F368" t="inlineStr">
        <is>
          <t>SKÅNE LÄN</t>
        </is>
      </c>
      <c r="G368" t="inlineStr">
        <is>
          <t>ÖSTRA GÖINGE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46274</v>
      </c>
      <c r="F369" t="inlineStr">
        <is>
          <t>SKÅNE LÄN</t>
        </is>
      </c>
      <c r="G369" t="inlineStr">
        <is>
          <t>ÖSTRA GÖINGE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69387-2021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44531</v>
      </c>
      <c r="E370" s="1" t="n">
        <v>46274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45362</v>
      </c>
      <c r="E371" s="1" t="n">
        <v>46274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46274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46274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46274</v>
      </c>
      <c r="F374" t="inlineStr">
        <is>
          <t>SKÅNE LÄN</t>
        </is>
      </c>
      <c r="G374" t="inlineStr">
        <is>
          <t>ÖSTRA GÖINGE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44896</v>
      </c>
      <c r="E375" s="1" t="n">
        <v>46274</v>
      </c>
      <c r="F375" t="inlineStr">
        <is>
          <t>SKÅNE LÄN</t>
        </is>
      </c>
      <c r="G375" t="inlineStr">
        <is>
          <t>ÖSTRA GÖINGE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44623</v>
      </c>
      <c r="E376" s="1" t="n">
        <v>46274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46274</v>
      </c>
      <c r="F377" t="inlineStr">
        <is>
          <t>SKÅNE LÄN</t>
        </is>
      </c>
      <c r="G377" t="inlineStr">
        <is>
          <t>ÖSTRA GÖINGE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46274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45489</v>
      </c>
      <c r="E379" s="1" t="n">
        <v>46274</v>
      </c>
      <c r="F379" t="inlineStr">
        <is>
          <t>SKÅNE LÄN</t>
        </is>
      </c>
      <c r="G379" t="inlineStr">
        <is>
          <t>ÖSTRA GÖINGE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29285-2023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45105</v>
      </c>
      <c r="E380" s="1" t="n">
        <v>46274</v>
      </c>
      <c r="F380" t="inlineStr">
        <is>
          <t>SKÅNE LÄN</t>
        </is>
      </c>
      <c r="G380" t="inlineStr">
        <is>
          <t>ÖSTRA GÖINGE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45373</v>
      </c>
      <c r="E381" s="1" t="n">
        <v>46274</v>
      </c>
      <c r="F381" t="inlineStr">
        <is>
          <t>SKÅNE LÄN</t>
        </is>
      </c>
      <c r="G381" t="inlineStr">
        <is>
          <t>ÖSTRA GÖINGE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27322-2022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46274</v>
      </c>
      <c r="F382" t="inlineStr">
        <is>
          <t>SKÅNE LÄN</t>
        </is>
      </c>
      <c r="G382" t="inlineStr">
        <is>
          <t>ÖSTRA GÖINGE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46274</v>
      </c>
      <c r="F383" t="inlineStr">
        <is>
          <t>SKÅNE LÄN</t>
        </is>
      </c>
      <c r="G383" t="inlineStr">
        <is>
          <t>ÖSTRA GÖINGE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46274</v>
      </c>
      <c r="F384" t="inlineStr">
        <is>
          <t>SKÅNE LÄN</t>
        </is>
      </c>
      <c r="G384" t="inlineStr">
        <is>
          <t>ÖSTRA GÖINGE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45758</v>
      </c>
      <c r="E385" s="1" t="n">
        <v>46274</v>
      </c>
      <c r="F385" t="inlineStr">
        <is>
          <t>SKÅNE LÄN</t>
        </is>
      </c>
      <c r="G385" t="inlineStr">
        <is>
          <t>ÖSTRA GÖINGE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46274</v>
      </c>
      <c r="F386" t="inlineStr">
        <is>
          <t>SKÅNE LÄN</t>
        </is>
      </c>
      <c r="G386" t="inlineStr">
        <is>
          <t>ÖSTRA GÖINGE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46274</v>
      </c>
      <c r="F387" t="inlineStr">
        <is>
          <t>SKÅNE LÄN</t>
        </is>
      </c>
      <c r="G387" t="inlineStr">
        <is>
          <t>ÖSTRA GÖINGE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46274</v>
      </c>
      <c r="F388" t="inlineStr">
        <is>
          <t>SKÅNE LÄN</t>
        </is>
      </c>
      <c r="G388" t="inlineStr">
        <is>
          <t>ÖSTRA GÖINGE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46274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52930-2021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44467</v>
      </c>
      <c r="E390" s="1" t="n">
        <v>46274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55716-2024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45622</v>
      </c>
      <c r="E391" s="1" t="n">
        <v>46274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44958</v>
      </c>
      <c r="E392" s="1" t="n">
        <v>46274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44958</v>
      </c>
      <c r="E393" s="1" t="n">
        <v>46274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44842-2024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46274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23402-2023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45076</v>
      </c>
      <c r="E395" s="1" t="n">
        <v>46274</v>
      </c>
      <c r="F395" t="inlineStr">
        <is>
          <t>SKÅNE LÄN</t>
        </is>
      </c>
      <c r="G395" t="inlineStr">
        <is>
          <t>ÖSTRA GÖINGE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45076</v>
      </c>
      <c r="E396" s="1" t="n">
        <v>46274</v>
      </c>
      <c r="F396" t="inlineStr">
        <is>
          <t>SKÅNE LÄN</t>
        </is>
      </c>
      <c r="G396" t="inlineStr">
        <is>
          <t>ÖSTRA GÖINGE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34924-2022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44796</v>
      </c>
      <c r="E397" s="1" t="n">
        <v>46274</v>
      </c>
      <c r="F397" t="inlineStr">
        <is>
          <t>SKÅNE LÄN</t>
        </is>
      </c>
      <c r="G397" t="inlineStr">
        <is>
          <t>ÖSTRA GÖINGE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45117</v>
      </c>
      <c r="E398" s="1" t="n">
        <v>46274</v>
      </c>
      <c r="F398" t="inlineStr">
        <is>
          <t>SKÅNE LÄN</t>
        </is>
      </c>
      <c r="G398" t="inlineStr">
        <is>
          <t>ÖSTRA GÖINGE</t>
        </is>
      </c>
      <c r="H398" t="inlineStr">
        <is>
          <t>Sveaskog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45078</v>
      </c>
      <c r="E399" s="1" t="n">
        <v>46274</v>
      </c>
      <c r="F399" t="inlineStr">
        <is>
          <t>SKÅNE LÄN</t>
        </is>
      </c>
      <c r="G399" t="inlineStr">
        <is>
          <t>ÖSTRA GÖINGE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46274</v>
      </c>
      <c r="F400" t="inlineStr">
        <is>
          <t>SKÅNE LÄN</t>
        </is>
      </c>
      <c r="G400" t="inlineStr">
        <is>
          <t>ÖSTRA GÖINGE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45774</v>
      </c>
      <c r="E401" s="1" t="n">
        <v>46274</v>
      </c>
      <c r="F401" t="inlineStr">
        <is>
          <t>SKÅNE LÄN</t>
        </is>
      </c>
      <c r="G401" t="inlineStr">
        <is>
          <t>ÖSTRA GÖINGE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36963-2024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46274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46274</v>
      </c>
      <c r="F403" t="inlineStr">
        <is>
          <t>SKÅNE LÄN</t>
        </is>
      </c>
      <c r="G403" t="inlineStr">
        <is>
          <t>ÖSTRA GÖINGE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46274</v>
      </c>
      <c r="F404" t="inlineStr">
        <is>
          <t>SKÅNE LÄN</t>
        </is>
      </c>
      <c r="G404" t="inlineStr">
        <is>
          <t>ÖSTRA GÖINGE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46274</v>
      </c>
      <c r="F405" t="inlineStr">
        <is>
          <t>SKÅNE LÄN</t>
        </is>
      </c>
      <c r="G405" t="inlineStr">
        <is>
          <t>ÖSTRA GÖINGE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44953</v>
      </c>
      <c r="E406" s="1" t="n">
        <v>46274</v>
      </c>
      <c r="F406" t="inlineStr">
        <is>
          <t>SKÅNE LÄN</t>
        </is>
      </c>
      <c r="G406" t="inlineStr">
        <is>
          <t>ÖSTRA GÖINGE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45138</v>
      </c>
      <c r="E407" s="1" t="n">
        <v>46274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46274</v>
      </c>
      <c r="F408" t="inlineStr">
        <is>
          <t>SKÅNE LÄN</t>
        </is>
      </c>
      <c r="G408" t="inlineStr">
        <is>
          <t>ÖSTRA GÖINGE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45765</v>
      </c>
      <c r="E409" s="1" t="n">
        <v>46274</v>
      </c>
      <c r="F409" t="inlineStr">
        <is>
          <t>SKÅNE LÄN</t>
        </is>
      </c>
      <c r="G409" t="inlineStr">
        <is>
          <t>ÖSTRA GÖINGE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37588-2024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46274</v>
      </c>
      <c r="F410" t="inlineStr">
        <is>
          <t>SKÅNE LÄN</t>
        </is>
      </c>
      <c r="G410" t="inlineStr">
        <is>
          <t>ÖSTRA GÖINGE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46274</v>
      </c>
      <c r="F411" t="inlineStr">
        <is>
          <t>SKÅNE LÄN</t>
        </is>
      </c>
      <c r="G411" t="inlineStr">
        <is>
          <t>ÖSTRA GÖINGE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46274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46274</v>
      </c>
      <c r="F413" t="inlineStr">
        <is>
          <t>SKÅNE LÄN</t>
        </is>
      </c>
      <c r="G413" t="inlineStr">
        <is>
          <t>ÖSTRA GÖINGE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46274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45147</v>
      </c>
      <c r="E415" s="1" t="n">
        <v>46274</v>
      </c>
      <c r="F415" t="inlineStr">
        <is>
          <t>SKÅNE LÄN</t>
        </is>
      </c>
      <c r="G415" t="inlineStr">
        <is>
          <t>ÖSTRA GÖINGE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44810</v>
      </c>
      <c r="E416" s="1" t="n">
        <v>46274</v>
      </c>
      <c r="F416" t="inlineStr">
        <is>
          <t>SKÅNE LÄN</t>
        </is>
      </c>
      <c r="G416" t="inlineStr">
        <is>
          <t>ÖSTRA GÖINGE</t>
        </is>
      </c>
      <c r="H416" t="inlineStr">
        <is>
          <t>Kyrkan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46274</v>
      </c>
      <c r="F417" t="inlineStr">
        <is>
          <t>SKÅNE LÄN</t>
        </is>
      </c>
      <c r="G417" t="inlineStr">
        <is>
          <t>ÖSTRA GÖINGE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44593</v>
      </c>
      <c r="E418" s="1" t="n">
        <v>46274</v>
      </c>
      <c r="F418" t="inlineStr">
        <is>
          <t>SKÅNE LÄN</t>
        </is>
      </c>
      <c r="G418" t="inlineStr">
        <is>
          <t>ÖSTRA GÖINGE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46274</v>
      </c>
      <c r="F419" t="inlineStr">
        <is>
          <t>SKÅNE LÄN</t>
        </is>
      </c>
      <c r="G419" t="inlineStr">
        <is>
          <t>ÖSTRA GÖINGE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44992</v>
      </c>
      <c r="E420" s="1" t="n">
        <v>46274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47591-2023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45203</v>
      </c>
      <c r="E421" s="1" t="n">
        <v>46274</v>
      </c>
      <c r="F421" t="inlineStr">
        <is>
          <t>SKÅNE LÄN</t>
        </is>
      </c>
      <c r="G421" t="inlineStr">
        <is>
          <t>ÖSTRA GÖINGE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45310</v>
      </c>
      <c r="E422" s="1" t="n">
        <v>46274</v>
      </c>
      <c r="F422" t="inlineStr">
        <is>
          <t>SKÅNE LÄN</t>
        </is>
      </c>
      <c r="G422" t="inlineStr">
        <is>
          <t>ÖSTRA GÖINGE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32514-2023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45121</v>
      </c>
      <c r="E423" s="1" t="n">
        <v>46274</v>
      </c>
      <c r="F423" t="inlineStr">
        <is>
          <t>SKÅNE LÄN</t>
        </is>
      </c>
      <c r="G423" t="inlineStr">
        <is>
          <t>ÖSTRA GÖINGE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58868-2021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44489</v>
      </c>
      <c r="E424" s="1" t="n">
        <v>46274</v>
      </c>
      <c r="F424" t="inlineStr">
        <is>
          <t>SKÅNE LÄN</t>
        </is>
      </c>
      <c r="G424" t="inlineStr">
        <is>
          <t>ÖSTRA GÖINGE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46274</v>
      </c>
      <c r="F425" t="inlineStr">
        <is>
          <t>SKÅNE LÄN</t>
        </is>
      </c>
      <c r="G425" t="inlineStr">
        <is>
          <t>ÖSTRA GÖINGE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42373-2024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45564</v>
      </c>
      <c r="E426" s="1" t="n">
        <v>46274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46274</v>
      </c>
      <c r="F427" t="inlineStr">
        <is>
          <t>SKÅNE LÄN</t>
        </is>
      </c>
      <c r="G427" t="inlineStr">
        <is>
          <t>ÖSTRA GÖINGE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45699</v>
      </c>
      <c r="E428" s="1" t="n">
        <v>46274</v>
      </c>
      <c r="F428" t="inlineStr">
        <is>
          <t>SKÅNE LÄN</t>
        </is>
      </c>
      <c r="G428" t="inlineStr">
        <is>
          <t>ÖSTRA GÖINGE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45686</v>
      </c>
      <c r="E429" s="1" t="n">
        <v>46274</v>
      </c>
      <c r="F429" t="inlineStr">
        <is>
          <t>SKÅNE LÄN</t>
        </is>
      </c>
      <c r="G429" t="inlineStr">
        <is>
          <t>ÖSTRA GÖINGE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60504-2024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45643</v>
      </c>
      <c r="E430" s="1" t="n">
        <v>46274</v>
      </c>
      <c r="F430" t="inlineStr">
        <is>
          <t>SKÅNE LÄN</t>
        </is>
      </c>
      <c r="G430" t="inlineStr">
        <is>
          <t>ÖSTRA GÖINGE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45797</v>
      </c>
      <c r="E431" s="1" t="n">
        <v>46274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46274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46274</v>
      </c>
      <c r="F433" t="inlineStr">
        <is>
          <t>SKÅNE LÄN</t>
        </is>
      </c>
      <c r="G433" t="inlineStr">
        <is>
          <t>ÖSTRA GÖINGE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45553</v>
      </c>
      <c r="E434" s="1" t="n">
        <v>46274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53688-2024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46274</v>
      </c>
      <c r="F435" t="inlineStr">
        <is>
          <t>SKÅNE LÄN</t>
        </is>
      </c>
      <c r="G435" t="inlineStr">
        <is>
          <t>ÖSTRA GÖINGE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46274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45821</v>
      </c>
      <c r="E437" s="1" t="n">
        <v>46274</v>
      </c>
      <c r="F437" t="inlineStr">
        <is>
          <t>SKÅNE LÄN</t>
        </is>
      </c>
      <c r="G437" t="inlineStr">
        <is>
          <t>ÖSTRA GÖINGE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45826</v>
      </c>
      <c r="E438" s="1" t="n">
        <v>46274</v>
      </c>
      <c r="F438" t="inlineStr">
        <is>
          <t>SKÅNE LÄN</t>
        </is>
      </c>
      <c r="G438" t="inlineStr">
        <is>
          <t>ÖSTRA GÖINGE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46274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46274</v>
      </c>
      <c r="F440" t="inlineStr">
        <is>
          <t>SKÅNE LÄN</t>
        </is>
      </c>
      <c r="G440" t="inlineStr">
        <is>
          <t>ÖSTRA GÖINGE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31847-2025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46274</v>
      </c>
      <c r="F441" t="inlineStr">
        <is>
          <t>SKÅNE LÄN</t>
        </is>
      </c>
      <c r="G441" t="inlineStr">
        <is>
          <t>ÖSTRA GÖINGE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46274</v>
      </c>
      <c r="F442" t="inlineStr">
        <is>
          <t>SKÅNE LÄN</t>
        </is>
      </c>
      <c r="G442" t="inlineStr">
        <is>
          <t>ÖSTRA GÖINGE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46274</v>
      </c>
      <c r="F443" t="inlineStr">
        <is>
          <t>SKÅNE LÄN</t>
        </is>
      </c>
      <c r="G443" t="inlineStr">
        <is>
          <t>ÖSTRA GÖINGE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46274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45667</v>
      </c>
      <c r="E445" s="1" t="n">
        <v>46274</v>
      </c>
      <c r="F445" t="inlineStr">
        <is>
          <t>SKÅNE LÄN</t>
        </is>
      </c>
      <c r="G445" t="inlineStr">
        <is>
          <t>ÖSTRA GÖINGE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45848</v>
      </c>
      <c r="E446" s="1" t="n">
        <v>46274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46274</v>
      </c>
      <c r="F447" t="inlineStr">
        <is>
          <t>SKÅNE LÄN</t>
        </is>
      </c>
      <c r="G447" t="inlineStr">
        <is>
          <t>ÖSTRA GÖINGE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58944-2024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45636</v>
      </c>
      <c r="E448" s="1" t="n">
        <v>46274</v>
      </c>
      <c r="F448" t="inlineStr">
        <is>
          <t>SKÅNE LÄN</t>
        </is>
      </c>
      <c r="G448" t="inlineStr">
        <is>
          <t>ÖSTRA GÖINGE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45243</v>
      </c>
      <c r="E449" s="1" t="n">
        <v>46274</v>
      </c>
      <c r="F449" t="inlineStr">
        <is>
          <t>SKÅNE LÄN</t>
        </is>
      </c>
      <c r="G449" t="inlineStr">
        <is>
          <t>ÖSTRA GÖINGE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45301</v>
      </c>
      <c r="E450" s="1" t="n">
        <v>46274</v>
      </c>
      <c r="F450" t="inlineStr">
        <is>
          <t>SKÅNE LÄN</t>
        </is>
      </c>
      <c r="G450" t="inlineStr">
        <is>
          <t>ÖSTRA GÖINGE</t>
        </is>
      </c>
      <c r="I450" t="n">
        <v>53.6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2502-2023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45124</v>
      </c>
      <c r="E451" s="1" t="n">
        <v>46274</v>
      </c>
      <c r="F451" t="inlineStr">
        <is>
          <t>SKÅNE LÄN</t>
        </is>
      </c>
      <c r="G451" t="inlineStr">
        <is>
          <t>ÖSTRA GÖINGE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2639-2022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44700</v>
      </c>
      <c r="E452" s="1" t="n">
        <v>46274</v>
      </c>
      <c r="F452" t="inlineStr">
        <is>
          <t>SKÅNE LÄN</t>
        </is>
      </c>
      <c r="G452" t="inlineStr">
        <is>
          <t>ÖSTRA GÖINGE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46274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1043-2022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44613</v>
      </c>
      <c r="E454" s="1" t="n">
        <v>46274</v>
      </c>
      <c r="F454" t="inlineStr">
        <is>
          <t>SKÅNE LÄN</t>
        </is>
      </c>
      <c r="G454" t="inlineStr">
        <is>
          <t>ÖSTRA GÖINGE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46274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46274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46274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46274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46274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2600-2022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46274</v>
      </c>
      <c r="F460" t="inlineStr">
        <is>
          <t>SKÅNE LÄN</t>
        </is>
      </c>
      <c r="G460" t="inlineStr">
        <is>
          <t>ÖSTRA GÖINGE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46274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46274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46274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46274</v>
      </c>
      <c r="F464" t="inlineStr">
        <is>
          <t>SKÅNE LÄN</t>
        </is>
      </c>
      <c r="G464" t="inlineStr">
        <is>
          <t>ÖSTRA GÖINGE</t>
        </is>
      </c>
      <c r="I464" t="n">
        <v>18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46274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46274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46274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2143-2022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44676</v>
      </c>
      <c r="E468" s="1" t="n">
        <v>46274</v>
      </c>
      <c r="F468" t="inlineStr">
        <is>
          <t>SKÅNE LÄN</t>
        </is>
      </c>
      <c r="G468" t="inlineStr">
        <is>
          <t>ÖSTRA GÖINGE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444-2022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46274</v>
      </c>
      <c r="F469" t="inlineStr">
        <is>
          <t>SKÅNE LÄN</t>
        </is>
      </c>
      <c r="G469" t="inlineStr">
        <is>
          <t>ÖSTRA GÖINGE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46274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46274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46274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46274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450-2022</t>
        </is>
      </c>
      <c r="B474" t="inlineStr">
        <is>
          <t>samrådsanmälan</t>
        </is>
      </c>
      <c r="C474" t="inlineStr">
        <is>
          <t>Åtgärd i nyckelbiotop</t>
        </is>
      </c>
      <c r="D474" s="1" t="n">
        <v>44586</v>
      </c>
      <c r="E474" s="1" t="n">
        <v>46274</v>
      </c>
      <c r="F474" t="inlineStr">
        <is>
          <t>SKÅNE LÄN</t>
        </is>
      </c>
      <c r="G474" t="inlineStr">
        <is>
          <t>ÖSTRA GÖINGE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1223-2025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45761</v>
      </c>
      <c r="E475" s="1" t="n">
        <v>46274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1305-2025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45770</v>
      </c>
      <c r="E476" s="1" t="n">
        <v>46274</v>
      </c>
      <c r="F476" t="inlineStr">
        <is>
          <t>SKÅNE LÄN</t>
        </is>
      </c>
      <c r="G476" t="inlineStr">
        <is>
          <t>ÖSTRA GÖINGE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625-2025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45714</v>
      </c>
      <c r="E477" s="1" t="n">
        <v>46274</v>
      </c>
      <c r="F477" t="inlineStr">
        <is>
          <t>SKÅNE LÄN</t>
        </is>
      </c>
      <c r="G477" t="inlineStr">
        <is>
          <t>ÖSTRA GÖINGE</t>
        </is>
      </c>
      <c r="I477" t="n">
        <v>93.59999999999999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649-2025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45715</v>
      </c>
      <c r="E478" s="1" t="n">
        <v>46274</v>
      </c>
      <c r="F478" t="inlineStr">
        <is>
          <t>SKÅNE LÄN</t>
        </is>
      </c>
      <c r="G478" t="inlineStr">
        <is>
          <t>ÖSTRA GÖINGE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451-2025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45701</v>
      </c>
      <c r="E479" s="1" t="n">
        <v>46274</v>
      </c>
      <c r="F479" t="inlineStr">
        <is>
          <t>SKÅNE LÄN</t>
        </is>
      </c>
      <c r="G479" t="inlineStr">
        <is>
          <t>ÖSTRA GÖINGE</t>
        </is>
      </c>
      <c r="I479" t="n">
        <v>17.7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252-2025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45684</v>
      </c>
      <c r="E480" s="1" t="n">
        <v>46274</v>
      </c>
      <c r="F480" t="inlineStr">
        <is>
          <t>SKÅNE LÄN</t>
        </is>
      </c>
      <c r="G480" t="inlineStr">
        <is>
          <t>ÖSTRA GÖINGE</t>
        </is>
      </c>
      <c r="I480" t="n">
        <v>20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885-2025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45735</v>
      </c>
      <c r="E481" s="1" t="n">
        <v>46274</v>
      </c>
      <c r="F481" t="inlineStr">
        <is>
          <t>SKÅNE LÄN</t>
        </is>
      </c>
      <c r="G481" t="inlineStr">
        <is>
          <t>ÖSTRA GÖINGE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1703-2025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45805</v>
      </c>
      <c r="E482" s="1" t="n">
        <v>46274</v>
      </c>
      <c r="F482" t="inlineStr">
        <is>
          <t>SKÅNE LÄN</t>
        </is>
      </c>
      <c r="G482" t="inlineStr">
        <is>
          <t>ÖSTRA GÖINGE</t>
        </is>
      </c>
      <c r="I482" t="n">
        <v>21.2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2712-2025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46274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2711-2025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46274</v>
      </c>
      <c r="F484" t="inlineStr">
        <is>
          <t>SKÅNE LÄN</t>
        </is>
      </c>
      <c r="G484" t="inlineStr">
        <is>
          <t>ÖSTRA GÖINGE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3154-2025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46274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3153-2025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46274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46274</v>
      </c>
      <c r="F487" t="inlineStr">
        <is>
          <t>SKÅNE LÄN</t>
        </is>
      </c>
      <c r="G487" t="inlineStr">
        <is>
          <t>ÖSTRA GÖINGE</t>
        </is>
      </c>
      <c r="I487" t="n">
        <v>14.3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46274</v>
      </c>
      <c r="F488" t="inlineStr">
        <is>
          <t>SKÅNE LÄN</t>
        </is>
      </c>
      <c r="G488" t="inlineStr">
        <is>
          <t>ÖSTRA GÖINGE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509-2026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46077</v>
      </c>
      <c r="E489" s="1" t="n">
        <v>46274</v>
      </c>
      <c r="F489" t="inlineStr">
        <is>
          <t>SKÅNE LÄN</t>
        </is>
      </c>
      <c r="G489" t="inlineStr">
        <is>
          <t>ÖSTRA GÖINGE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816-2026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46104</v>
      </c>
      <c r="E490" s="1" t="n">
        <v>46274</v>
      </c>
      <c r="F490" t="inlineStr">
        <is>
          <t>SKÅNE LÄN</t>
        </is>
      </c>
      <c r="G490" t="inlineStr">
        <is>
          <t>ÖSTRA GÖINGE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1410-2026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46155</v>
      </c>
      <c r="E491" s="1" t="n">
        <v>46274</v>
      </c>
      <c r="F491" t="inlineStr">
        <is>
          <t>SKÅNE LÄN</t>
        </is>
      </c>
      <c r="G491" t="inlineStr">
        <is>
          <t>ÖSTRA GÖINGE</t>
        </is>
      </c>
      <c r="I491" t="n">
        <v>18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2026-09-09T02:09:50Z</dcterms:created>
  <dcterms:modified xmlns:dcterms="http://purl.org/dc/terms/" xmlns:xsi="http://www.w3.org/2001/XMLSchema-instance" xsi:type="dcterms:W3CDTF">2026-09-09T02:09:51Z</dcterms:modified>
</cp:coreProperties>
</file>