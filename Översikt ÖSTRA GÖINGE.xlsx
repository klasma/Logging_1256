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46280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46280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46280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46280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46280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46280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46280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46280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46280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46280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46280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46280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46280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46280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46280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46280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46280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46280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46280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46280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46280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46280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46280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46280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46280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46280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46280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46280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46280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46280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46280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34344-2025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45846</v>
      </c>
      <c r="E43" s="1" t="n">
        <v>46280</v>
      </c>
      <c r="F43" t="inlineStr">
        <is>
          <t>SKÅNE LÄN</t>
        </is>
      </c>
      <c r="G43" t="inlineStr">
        <is>
          <t>ÖSTRA GÖINGE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Huggorm</t>
        </is>
      </c>
      <c r="W43">
        <f>HYPERLINK("https://klasma.github.io/Logging_1256/artfynd/A 34344-2025 artfynd.xlsx", "A 34344-2025")</f>
        <v/>
      </c>
      <c r="X43">
        <f>HYPERLINK("https://klasma.github.io/Logging_1256/kartor/A 34344-2025 karta.png", "A 34344-2025")</f>
        <v/>
      </c>
      <c r="Y43">
        <f>HYPERLINK("https://klasma.github.io/Logging_1256/kartor_geotiff/A 34344-2025 georefererad karta.tif", "A 34344-2025")</f>
        <v/>
      </c>
      <c r="AA43">
        <f>HYPERLINK("https://klasma.github.io/Logging_1256/klagomål/A 34344-2025 FSC-klagomål.docx", "A 34344-2025")</f>
        <v/>
      </c>
      <c r="AB43">
        <f>HYPERLINK("https://klasma.github.io/Logging_1256/klagomålsmail/A 34344-2025 FSC-klagomål mail.docx", "A 34344-2025")</f>
        <v/>
      </c>
      <c r="AC43">
        <f>HYPERLINK("https://klasma.github.io/Logging_1256/tillsyn/A 34344-2025 tillsynsbegäran.docx", "A 34344-2025")</f>
        <v/>
      </c>
      <c r="AD43">
        <f>HYPERLINK("https://klasma.github.io/Logging_1256/tillsynsmail/A 34344-2025 tillsynsbegäran mail.docx", "A 34344-2025")</f>
        <v/>
      </c>
    </row>
    <row r="44" ht="15" customHeight="1">
      <c r="A44" t="inlineStr">
        <is>
          <t>A 16668-2023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46280</v>
      </c>
      <c r="F44" t="inlineStr">
        <is>
          <t>SKÅNE LÄN</t>
        </is>
      </c>
      <c r="G44" t="inlineStr">
        <is>
          <t>ÖSTRA GÖINGE</t>
        </is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Mindre hackspett</t>
        </is>
      </c>
      <c r="W44">
        <f>HYPERLINK("https://klasma.github.io/Logging_1256/artfynd/A 16668-2023 artfynd.xlsx", "A 16668-2023")</f>
        <v/>
      </c>
      <c r="X44">
        <f>HYPERLINK("https://klasma.github.io/Logging_1256/kartor/A 16668-2023 karta.png", "A 16668-2023")</f>
        <v/>
      </c>
      <c r="Y44">
        <f>HYPERLINK("https://klasma.github.io/Logging_1256/kartor_geotiff/A 16668-2023 georefererad karta.tif", "A 16668-2023")</f>
        <v/>
      </c>
      <c r="AA44">
        <f>HYPERLINK("https://klasma.github.io/Logging_1256/klagomål/A 16668-2023 FSC-klagomål.docx", "A 16668-2023")</f>
        <v/>
      </c>
      <c r="AB44">
        <f>HYPERLINK("https://klasma.github.io/Logging_1256/klagomålsmail/A 16668-2023 FSC-klagomål mail.docx", "A 16668-2023")</f>
        <v/>
      </c>
      <c r="AC44">
        <f>HYPERLINK("https://klasma.github.io/Logging_1256/tillsyn/A 16668-2023 tillsynsbegäran.docx", "A 16668-2023")</f>
        <v/>
      </c>
      <c r="AD44">
        <f>HYPERLINK("https://klasma.github.io/Logging_1256/tillsynsmail/A 16668-2023 tillsynsbegäran mail.docx", "A 16668-2023")</f>
        <v/>
      </c>
      <c r="AE44">
        <f>HYPERLINK("https://klasma.github.io/Logging_1256/fåglar/A 16668-2023 prioriterade fågelarter.docx", "A 16668-2023")</f>
        <v/>
      </c>
    </row>
    <row r="45" ht="15" customHeight="1">
      <c r="A45" t="inlineStr">
        <is>
          <t>A 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45327</v>
      </c>
      <c r="E45" s="1" t="n">
        <v>46280</v>
      </c>
      <c r="F45" t="inlineStr">
        <is>
          <t>SKÅNE LÄN</t>
        </is>
      </c>
      <c r="G45" t="inlineStr">
        <is>
          <t>ÖSTRA GÖINGE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HYPERLINK("https://klasma.github.io/Logging_1256/artfynd/A 4383-2024 artfynd.xlsx", "A 4383-2024")</f>
        <v/>
      </c>
      <c r="X45">
        <f>HYPERLINK("https://klasma.github.io/Logging_1256/kartor/A 4383-2024 karta.png", "A 4383-2024")</f>
        <v/>
      </c>
      <c r="Y45">
        <f>HYPERLINK("https://klasma.github.io/Logging_1256/kartor_geotiff/A 4383-2024 georefererad karta.tif", "A 4383-2024")</f>
        <v/>
      </c>
      <c r="AA45">
        <f>HYPERLINK("https://klasma.github.io/Logging_1256/klagomål/A 4383-2024 FSC-klagomål.docx", "A 4383-2024")</f>
        <v/>
      </c>
      <c r="AB45">
        <f>HYPERLINK("https://klasma.github.io/Logging_1256/klagomålsmail/A 4383-2024 FSC-klagomål mail.docx", "A 4383-2024")</f>
        <v/>
      </c>
      <c r="AC45">
        <f>HYPERLINK("https://klasma.github.io/Logging_1256/tillsyn/A 4383-2024 tillsynsbegäran.docx", "A 4383-2024")</f>
        <v/>
      </c>
      <c r="AD45">
        <f>HYPERLINK("https://klasma.github.io/Logging_1256/tillsynsmail/A 4383-2024 tillsynsbegäran mail.docx", "A 4383-2024")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46280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38965-2025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46280</v>
      </c>
      <c r="F47" t="inlineStr">
        <is>
          <t>SKÅNE LÄN</t>
        </is>
      </c>
      <c r="G47" t="inlineStr">
        <is>
          <t>ÖSTRA GÖINGE</t>
        </is>
      </c>
      <c r="I47" t="n">
        <v>2.5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Gullklöver</t>
        </is>
      </c>
      <c r="W47">
        <f>HYPERLINK("https://klasma.github.io/Logging_1256/artfynd/A 38965-2025 artfynd.xlsx", "A 38965-2025")</f>
        <v/>
      </c>
      <c r="X47">
        <f>HYPERLINK("https://klasma.github.io/Logging_1256/kartor/A 38965-2025 karta.png", "A 38965-2025")</f>
        <v/>
      </c>
      <c r="Y47">
        <f>HYPERLINK("https://klasma.github.io/Logging_1256/kartor_geotiff/A 38965-2025 georefererad karta.tif", "A 38965-2025")</f>
        <v/>
      </c>
      <c r="AA47">
        <f>HYPERLINK("https://klasma.github.io/Logging_1256/klagomål/A 38965-2025 FSC-klagomål.docx", "A 38965-2025")</f>
        <v/>
      </c>
      <c r="AB47">
        <f>HYPERLINK("https://klasma.github.io/Logging_1256/klagomålsmail/A 38965-2025 FSC-klagomål mail.docx", "A 38965-2025")</f>
        <v/>
      </c>
      <c r="AC47">
        <f>HYPERLINK("https://klasma.github.io/Logging_1256/tillsyn/A 38965-2025 tillsynsbegäran.docx", "A 38965-2025")</f>
        <v/>
      </c>
      <c r="AD47">
        <f>HYPERLINK("https://klasma.github.io/Logging_1256/tillsynsmail/A 38965-2025 tillsynsbegäran mail.docx", "A 38965-2025")</f>
        <v/>
      </c>
    </row>
    <row r="48" ht="15" customHeight="1">
      <c r="A48" t="inlineStr">
        <is>
          <t>A 35037-2024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46280</v>
      </c>
      <c r="F48" t="inlineStr">
        <is>
          <t>SKÅNE LÄN</t>
        </is>
      </c>
      <c r="G48" t="inlineStr">
        <is>
          <t>ÖSTRA GÖINGE</t>
        </is>
      </c>
      <c r="I48" t="n">
        <v>12.6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35037-2024 artfynd.xlsx", "A 35037-2024")</f>
        <v/>
      </c>
      <c r="X48">
        <f>HYPERLINK("https://klasma.github.io/Logging_1256/kartor/A 35037-2024 karta.png", "A 35037-2024")</f>
        <v/>
      </c>
      <c r="Y48">
        <f>HYPERLINK("https://klasma.github.io/Logging_1256/kartor_geotiff/A 35037-2024 georefererad karta.tif", "A 35037-2024")</f>
        <v/>
      </c>
      <c r="AA48">
        <f>HYPERLINK("https://klasma.github.io/Logging_1256/klagomål/A 35037-2024 FSC-klagomål.docx", "A 35037-2024")</f>
        <v/>
      </c>
      <c r="AB48">
        <f>HYPERLINK("https://klasma.github.io/Logging_1256/klagomålsmail/A 35037-2024 FSC-klagomål mail.docx", "A 35037-2024")</f>
        <v/>
      </c>
      <c r="AC48">
        <f>HYPERLINK("https://klasma.github.io/Logging_1256/tillsyn/A 35037-2024 tillsynsbegäran.docx", "A 35037-2024")</f>
        <v/>
      </c>
      <c r="AD48">
        <f>HYPERLINK("https://klasma.github.io/Logging_1256/tillsynsmail/A 35037-2024 tillsynsbegäran mail.docx", "A 35037-2024")</f>
        <v/>
      </c>
    </row>
    <row r="49" ht="15" customHeight="1">
      <c r="A49" t="inlineStr">
        <is>
          <t>A 6152-2024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46280</v>
      </c>
      <c r="F49" t="inlineStr">
        <is>
          <t>SKÅNE LÄN</t>
        </is>
      </c>
      <c r="G49" t="inlineStr">
        <is>
          <t>ÖSTRA GÖINGE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HYPERLINK("https://klasma.github.io/Logging_1256/artfynd/A 6152-2024 artfynd.xlsx", "A 6152-2024")</f>
        <v/>
      </c>
      <c r="X49">
        <f>HYPERLINK("https://klasma.github.io/Logging_1256/kartor/A 6152-2024 karta.png", "A 6152-2024")</f>
        <v/>
      </c>
      <c r="Y49">
        <f>HYPERLINK("https://klasma.github.io/Logging_1256/kartor_geotiff/A 6152-2024 georefererad karta.tif", "A 6152-2024")</f>
        <v/>
      </c>
      <c r="AA49">
        <f>HYPERLINK("https://klasma.github.io/Logging_1256/klagomål/A 6152-2024 FSC-klagomål.docx", "A 6152-2024")</f>
        <v/>
      </c>
      <c r="AB49">
        <f>HYPERLINK("https://klasma.github.io/Logging_1256/klagomålsmail/A 6152-2024 FSC-klagomål mail.docx", "A 6152-2024")</f>
        <v/>
      </c>
      <c r="AC49">
        <f>HYPERLINK("https://klasma.github.io/Logging_1256/tillsyn/A 6152-2024 tillsynsbegäran.docx", "A 6152-2024")</f>
        <v/>
      </c>
      <c r="AD49">
        <f>HYPERLINK("https://klasma.github.io/Logging_1256/tillsynsmail/A 6152-2024 tillsynsbegäran mail.docx", "A 6152-2024")</f>
        <v/>
      </c>
    </row>
    <row r="50" ht="15" customHeight="1">
      <c r="A50" t="inlineStr">
        <is>
          <t>A 45359-2023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45192</v>
      </c>
      <c r="E50" s="1" t="n">
        <v>46280</v>
      </c>
      <c r="F50" t="inlineStr">
        <is>
          <t>SKÅNE LÄN</t>
        </is>
      </c>
      <c r="G50" t="inlineStr">
        <is>
          <t>ÖSTRA GÖINGE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HYPERLINK("https://klasma.github.io/Logging_1256/artfynd/A 45359-2023 artfynd.xlsx", "A 45359-2023")</f>
        <v/>
      </c>
      <c r="X50">
        <f>HYPERLINK("https://klasma.github.io/Logging_1256/kartor/A 45359-2023 karta.png", "A 45359-2023")</f>
        <v/>
      </c>
      <c r="Y50">
        <f>HYPERLINK("https://klasma.github.io/Logging_1256/kartor_geotiff/A 45359-2023 georefererad karta.tif", "A 45359-2023")</f>
        <v/>
      </c>
      <c r="AA50">
        <f>HYPERLINK("https://klasma.github.io/Logging_1256/klagomål/A 45359-2023 FSC-klagomål.docx", "A 45359-2023")</f>
        <v/>
      </c>
      <c r="AB50">
        <f>HYPERLINK("https://klasma.github.io/Logging_1256/klagomålsmail/A 45359-2023 FSC-klagomål mail.docx", "A 45359-2023")</f>
        <v/>
      </c>
      <c r="AC50">
        <f>HYPERLINK("https://klasma.github.io/Logging_1256/tillsyn/A 45359-2023 tillsynsbegäran.docx", "A 45359-2023")</f>
        <v/>
      </c>
      <c r="AD50">
        <f>HYPERLINK("https://klasma.github.io/Logging_1256/tillsynsmail/A 45359-2023 tillsynsbegäran mail.docx", "A 45359-2023")</f>
        <v/>
      </c>
    </row>
    <row r="51" ht="15" customHeight="1">
      <c r="A51" t="inlineStr">
        <is>
          <t>A 59369-2024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46280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59369-2024 artfynd.xlsx", "A 59369-2024")</f>
        <v/>
      </c>
      <c r="X51">
        <f>HYPERLINK("https://klasma.github.io/Logging_1256/kartor/A 59369-2024 karta.png", "A 59369-2024")</f>
        <v/>
      </c>
      <c r="Y51">
        <f>HYPERLINK("https://klasma.github.io/Logging_1256/kartor_geotiff/A 59369-2024 georefererad karta.tif", "A 59369-2024")</f>
        <v/>
      </c>
      <c r="AA51">
        <f>HYPERLINK("https://klasma.github.io/Logging_1256/klagomål/A 59369-2024 FSC-klagomål.docx", "A 59369-2024")</f>
        <v/>
      </c>
      <c r="AB51">
        <f>HYPERLINK("https://klasma.github.io/Logging_1256/klagomålsmail/A 59369-2024 FSC-klagomål mail.docx", "A 59369-2024")</f>
        <v/>
      </c>
      <c r="AC51">
        <f>HYPERLINK("https://klasma.github.io/Logging_1256/tillsyn/A 59369-2024 tillsynsbegäran.docx", "A 59369-2024")</f>
        <v/>
      </c>
      <c r="AD51">
        <f>HYPERLINK("https://klasma.github.io/Logging_1256/tillsynsmail/A 59369-2024 tillsynsbegäran mail.docx", "A 59369-2024")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46280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46280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46280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46280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46280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46280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46280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46280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46280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46280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46280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46280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46280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46280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46280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46280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46280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46280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46280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46280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46280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46280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46280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46280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46280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46280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46280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46280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46280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46280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46280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46280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46280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46280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46280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46280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46280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46280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46280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46280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46280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46280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46280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46280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46280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46280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46280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46280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46280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46280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46280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46280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46280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46280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46280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46280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46280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46280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46280</v>
      </c>
      <c r="F112" t="inlineStr">
        <is>
          <t>SKÅNE LÄN</t>
        </is>
      </c>
      <c r="G112" t="inlineStr">
        <is>
          <t>ÖSTRA GÖINGE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45082</v>
      </c>
      <c r="E113" s="1" t="n">
        <v>46280</v>
      </c>
      <c r="F113" t="inlineStr">
        <is>
          <t>SKÅNE LÄN</t>
        </is>
      </c>
      <c r="G113" t="inlineStr">
        <is>
          <t>ÖSTRA GÖINGE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46280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46280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46280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34931-2023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45142</v>
      </c>
      <c r="E117" s="1" t="n">
        <v>46280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24028-2022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44723</v>
      </c>
      <c r="E118" s="1" t="n">
        <v>46280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46280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46280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46280</v>
      </c>
      <c r="F121" t="inlineStr">
        <is>
          <t>SKÅNE LÄN</t>
        </is>
      </c>
      <c r="G121" t="inlineStr">
        <is>
          <t>ÖSTRA GÖINGE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46280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46280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46280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46280</v>
      </c>
      <c r="F125" t="inlineStr">
        <is>
          <t>SKÅNE LÄN</t>
        </is>
      </c>
      <c r="G125" t="inlineStr">
        <is>
          <t>ÖSTRA GÖINGE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46280</v>
      </c>
      <c r="F126" t="inlineStr">
        <is>
          <t>SKÅNE LÄN</t>
        </is>
      </c>
      <c r="G126" t="inlineStr">
        <is>
          <t>ÖSTRA GÖINGE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46280</v>
      </c>
      <c r="F127" t="inlineStr">
        <is>
          <t>SKÅNE LÄN</t>
        </is>
      </c>
      <c r="G127" t="inlineStr">
        <is>
          <t>ÖSTRA GÖINGE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45568</v>
      </c>
      <c r="E128" s="1" t="n">
        <v>46280</v>
      </c>
      <c r="F128" t="inlineStr">
        <is>
          <t>SKÅNE LÄN</t>
        </is>
      </c>
      <c r="G128" t="inlineStr">
        <is>
          <t>ÖSTRA GÖINGE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46280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46280</v>
      </c>
      <c r="F130" t="inlineStr">
        <is>
          <t>SKÅNE LÄN</t>
        </is>
      </c>
      <c r="G130" t="inlineStr">
        <is>
          <t>ÖSTRA GÖINGE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46280</v>
      </c>
      <c r="F131" t="inlineStr">
        <is>
          <t>SKÅNE LÄN</t>
        </is>
      </c>
      <c r="G131" t="inlineStr">
        <is>
          <t>ÖSTRA GÖINGE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46280</v>
      </c>
      <c r="F132" t="inlineStr">
        <is>
          <t>SKÅNE LÄN</t>
        </is>
      </c>
      <c r="G132" t="inlineStr">
        <is>
          <t>ÖSTRA GÖINGE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46280</v>
      </c>
      <c r="F133" t="inlineStr">
        <is>
          <t>SKÅNE LÄN</t>
        </is>
      </c>
      <c r="G133" t="inlineStr">
        <is>
          <t>ÖSTRA GÖINGE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46280</v>
      </c>
      <c r="F134" t="inlineStr">
        <is>
          <t>SKÅNE LÄN</t>
        </is>
      </c>
      <c r="G134" t="inlineStr">
        <is>
          <t>ÖSTRA GÖINGE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46280</v>
      </c>
      <c r="F135" t="inlineStr">
        <is>
          <t>SKÅNE LÄN</t>
        </is>
      </c>
      <c r="G135" t="inlineStr">
        <is>
          <t>ÖSTRA GÖINGE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46280</v>
      </c>
      <c r="F136" t="inlineStr">
        <is>
          <t>SKÅNE LÄN</t>
        </is>
      </c>
      <c r="G136" t="inlineStr">
        <is>
          <t>ÖSTRA GÖINGE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46280</v>
      </c>
      <c r="F137" t="inlineStr">
        <is>
          <t>SKÅNE LÄN</t>
        </is>
      </c>
      <c r="G137" t="inlineStr">
        <is>
          <t>ÖSTRA GÖINGE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46280</v>
      </c>
      <c r="F138" t="inlineStr">
        <is>
          <t>SKÅNE LÄN</t>
        </is>
      </c>
      <c r="G138" t="inlineStr">
        <is>
          <t>ÖSTRA GÖINGE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46280</v>
      </c>
      <c r="F139" t="inlineStr">
        <is>
          <t>SKÅNE LÄN</t>
        </is>
      </c>
      <c r="G139" t="inlineStr">
        <is>
          <t>ÖSTRA GÖINGE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46280</v>
      </c>
      <c r="F140" t="inlineStr">
        <is>
          <t>SKÅNE LÄN</t>
        </is>
      </c>
      <c r="G140" t="inlineStr">
        <is>
          <t>ÖSTRA GÖINGE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46280</v>
      </c>
      <c r="F141" t="inlineStr">
        <is>
          <t>SKÅNE LÄN</t>
        </is>
      </c>
      <c r="G141" t="inlineStr">
        <is>
          <t>ÖSTRA GÖINGE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45674</v>
      </c>
      <c r="E142" s="1" t="n">
        <v>46280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46280</v>
      </c>
      <c r="F143" t="inlineStr">
        <is>
          <t>SKÅNE LÄN</t>
        </is>
      </c>
      <c r="G143" t="inlineStr">
        <is>
          <t>ÖSTRA GÖINGE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46280</v>
      </c>
      <c r="F144" t="inlineStr">
        <is>
          <t>SKÅNE LÄN</t>
        </is>
      </c>
      <c r="G144" t="inlineStr">
        <is>
          <t>ÖSTRA GÖINGE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46280</v>
      </c>
      <c r="F145" t="inlineStr">
        <is>
          <t>SKÅNE LÄN</t>
        </is>
      </c>
      <c r="G145" t="inlineStr">
        <is>
          <t>ÖSTRA GÖINGE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46280</v>
      </c>
      <c r="F146" t="inlineStr">
        <is>
          <t>SKÅNE LÄN</t>
        </is>
      </c>
      <c r="G146" t="inlineStr">
        <is>
          <t>ÖSTRA GÖINGE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46280</v>
      </c>
      <c r="F147" t="inlineStr">
        <is>
          <t>SKÅNE LÄN</t>
        </is>
      </c>
      <c r="G147" t="inlineStr">
        <is>
          <t>ÖSTRA GÖINGE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46280</v>
      </c>
      <c r="F148" t="inlineStr">
        <is>
          <t>SKÅNE LÄN</t>
        </is>
      </c>
      <c r="G148" t="inlineStr">
        <is>
          <t>ÖSTRA GÖINGE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46280</v>
      </c>
      <c r="F149" t="inlineStr">
        <is>
          <t>SKÅNE LÄN</t>
        </is>
      </c>
      <c r="G149" t="inlineStr">
        <is>
          <t>ÖSTRA GÖINGE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46280</v>
      </c>
      <c r="F150" t="inlineStr">
        <is>
          <t>SKÅNE LÄN</t>
        </is>
      </c>
      <c r="G150" t="inlineStr">
        <is>
          <t>ÖSTRA GÖINGE</t>
        </is>
      </c>
      <c r="H150" t="inlineStr">
        <is>
          <t>Kyrkan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44946</v>
      </c>
      <c r="E151" s="1" t="n">
        <v>46280</v>
      </c>
      <c r="F151" t="inlineStr">
        <is>
          <t>SKÅNE LÄN</t>
        </is>
      </c>
      <c r="G151" t="inlineStr">
        <is>
          <t>ÖSTRA GÖINGE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46280</v>
      </c>
      <c r="F152" t="inlineStr">
        <is>
          <t>SKÅNE LÄN</t>
        </is>
      </c>
      <c r="G152" t="inlineStr">
        <is>
          <t>ÖSTRA GÖINGE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46280</v>
      </c>
      <c r="F153" t="inlineStr">
        <is>
          <t>SKÅNE LÄN</t>
        </is>
      </c>
      <c r="G153" t="inlineStr">
        <is>
          <t>ÖSTRA GÖINGE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46280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46280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46280</v>
      </c>
      <c r="F156" t="inlineStr">
        <is>
          <t>SKÅNE LÄN</t>
        </is>
      </c>
      <c r="G156" t="inlineStr">
        <is>
          <t>ÖSTRA GÖINGE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46280</v>
      </c>
      <c r="F157" t="inlineStr">
        <is>
          <t>SKÅNE LÄN</t>
        </is>
      </c>
      <c r="G157" t="inlineStr">
        <is>
          <t>ÖSTRA GÖINGE</t>
        </is>
      </c>
      <c r="I157" t="n">
        <v>10.4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46280</v>
      </c>
      <c r="F158" t="inlineStr">
        <is>
          <t>SKÅNE LÄN</t>
        </is>
      </c>
      <c r="G158" t="inlineStr">
        <is>
          <t>ÖSTRA GÖINGE</t>
        </is>
      </c>
      <c r="I158" t="n">
        <v>8.699999999999999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46280</v>
      </c>
      <c r="F159" t="inlineStr">
        <is>
          <t>SKÅNE LÄN</t>
        </is>
      </c>
      <c r="G159" t="inlineStr">
        <is>
          <t>ÖSTRA GÖINGE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46280</v>
      </c>
      <c r="F160" t="inlineStr">
        <is>
          <t>SKÅNE LÄN</t>
        </is>
      </c>
      <c r="G160" t="inlineStr">
        <is>
          <t>ÖSTRA GÖINGE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46280</v>
      </c>
      <c r="F161" t="inlineStr">
        <is>
          <t>SKÅNE LÄN</t>
        </is>
      </c>
      <c r="G161" t="inlineStr">
        <is>
          <t>ÖSTRA GÖINGE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46280</v>
      </c>
      <c r="F162" t="inlineStr">
        <is>
          <t>SKÅNE LÄN</t>
        </is>
      </c>
      <c r="G162" t="inlineStr">
        <is>
          <t>ÖSTRA GÖINGE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46280</v>
      </c>
      <c r="F163" t="inlineStr">
        <is>
          <t>SKÅNE LÄN</t>
        </is>
      </c>
      <c r="G163" t="inlineStr">
        <is>
          <t>ÖSTRA GÖINGE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46280</v>
      </c>
      <c r="F164" t="inlineStr">
        <is>
          <t>SKÅNE LÄN</t>
        </is>
      </c>
      <c r="G164" t="inlineStr">
        <is>
          <t>ÖSTRA GÖINGE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46280</v>
      </c>
      <c r="F165" t="inlineStr">
        <is>
          <t>SKÅNE LÄN</t>
        </is>
      </c>
      <c r="G165" t="inlineStr">
        <is>
          <t>ÖSTRA GÖINGE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45274</v>
      </c>
      <c r="E166" s="1" t="n">
        <v>46280</v>
      </c>
      <c r="F166" t="inlineStr">
        <is>
          <t>SKÅNE LÄN</t>
        </is>
      </c>
      <c r="G166" t="inlineStr">
        <is>
          <t>ÖSTRA GÖINGE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46280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46280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46280</v>
      </c>
      <c r="F169" t="inlineStr">
        <is>
          <t>SKÅNE LÄN</t>
        </is>
      </c>
      <c r="G169" t="inlineStr">
        <is>
          <t>ÖSTRA GÖINGE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46280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46280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46280</v>
      </c>
      <c r="F172" t="inlineStr">
        <is>
          <t>SKÅNE LÄN</t>
        </is>
      </c>
      <c r="G172" t="inlineStr">
        <is>
          <t>ÖSTRA GÖINGE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46280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7057-2026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46057</v>
      </c>
      <c r="E174" s="1" t="n">
        <v>46280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46280</v>
      </c>
      <c r="F175" t="inlineStr">
        <is>
          <t>SKÅNE LÄN</t>
        </is>
      </c>
      <c r="G175" t="inlineStr">
        <is>
          <t>ÖSTRA GÖINGE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46058</v>
      </c>
      <c r="E176" s="1" t="n">
        <v>46280</v>
      </c>
      <c r="F176" t="inlineStr">
        <is>
          <t>SKÅNE LÄN</t>
        </is>
      </c>
      <c r="G176" t="inlineStr">
        <is>
          <t>ÖSTRA GÖINGE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45667</v>
      </c>
      <c r="E177" s="1" t="n">
        <v>46280</v>
      </c>
      <c r="F177" t="inlineStr">
        <is>
          <t>SKÅNE LÄN</t>
        </is>
      </c>
      <c r="G177" t="inlineStr">
        <is>
          <t>ÖSTRA GÖINGE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46280</v>
      </c>
      <c r="F178" t="inlineStr">
        <is>
          <t>SKÅNE LÄN</t>
        </is>
      </c>
      <c r="G178" t="inlineStr">
        <is>
          <t>ÖSTRA GÖINGE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46280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46280</v>
      </c>
      <c r="F180" t="inlineStr">
        <is>
          <t>SKÅNE LÄN</t>
        </is>
      </c>
      <c r="G180" t="inlineStr">
        <is>
          <t>ÖSTRA GÖINGE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46280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46280</v>
      </c>
      <c r="F182" t="inlineStr">
        <is>
          <t>SKÅNE LÄN</t>
        </is>
      </c>
      <c r="G182" t="inlineStr">
        <is>
          <t>ÖSTRA GÖINGE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46280</v>
      </c>
      <c r="F183" t="inlineStr">
        <is>
          <t>SKÅNE LÄN</t>
        </is>
      </c>
      <c r="G183" t="inlineStr">
        <is>
          <t>ÖSTRA GÖINGE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44915</v>
      </c>
      <c r="E184" s="1" t="n">
        <v>46280</v>
      </c>
      <c r="F184" t="inlineStr">
        <is>
          <t>SKÅNE LÄN</t>
        </is>
      </c>
      <c r="G184" t="inlineStr">
        <is>
          <t>ÖSTRA GÖINGE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46280</v>
      </c>
      <c r="F185" t="inlineStr">
        <is>
          <t>SKÅNE LÄN</t>
        </is>
      </c>
      <c r="G185" t="inlineStr">
        <is>
          <t>ÖSTRA GÖINGE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46069</v>
      </c>
      <c r="E186" s="1" t="n">
        <v>46280</v>
      </c>
      <c r="F186" t="inlineStr">
        <is>
          <t>SKÅNE LÄN</t>
        </is>
      </c>
      <c r="G186" t="inlineStr">
        <is>
          <t>ÖSTRA GÖINGE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46280</v>
      </c>
      <c r="F187" t="inlineStr">
        <is>
          <t>SKÅNE LÄN</t>
        </is>
      </c>
      <c r="G187" t="inlineStr">
        <is>
          <t>ÖSTRA GÖINGE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46280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45146</v>
      </c>
      <c r="E189" s="1" t="n">
        <v>46280</v>
      </c>
      <c r="F189" t="inlineStr">
        <is>
          <t>SKÅNE LÄN</t>
        </is>
      </c>
      <c r="G189" t="inlineStr">
        <is>
          <t>ÖSTRA GÖINGE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46280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46280</v>
      </c>
      <c r="F191" t="inlineStr">
        <is>
          <t>SKÅNE LÄN</t>
        </is>
      </c>
      <c r="G191" t="inlineStr">
        <is>
          <t>ÖSTRA GÖINGE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46280</v>
      </c>
      <c r="F192" t="inlineStr">
        <is>
          <t>SKÅNE LÄN</t>
        </is>
      </c>
      <c r="G192" t="inlineStr">
        <is>
          <t>ÖSTRA GÖINGE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46280</v>
      </c>
      <c r="F193" t="inlineStr">
        <is>
          <t>SKÅNE LÄN</t>
        </is>
      </c>
      <c r="G193" t="inlineStr">
        <is>
          <t>ÖSTRA GÖINGE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46280</v>
      </c>
      <c r="F194" t="inlineStr">
        <is>
          <t>SKÅNE LÄN</t>
        </is>
      </c>
      <c r="G194" t="inlineStr">
        <is>
          <t>ÖSTRA GÖINGE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46280</v>
      </c>
      <c r="F195" t="inlineStr">
        <is>
          <t>SKÅNE LÄN</t>
        </is>
      </c>
      <c r="G195" t="inlineStr">
        <is>
          <t>ÖSTRA GÖINGE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46280</v>
      </c>
      <c r="F196" t="inlineStr">
        <is>
          <t>SKÅNE LÄN</t>
        </is>
      </c>
      <c r="G196" t="inlineStr">
        <is>
          <t>ÖSTRA GÖINGE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45819</v>
      </c>
      <c r="E197" s="1" t="n">
        <v>46280</v>
      </c>
      <c r="F197" t="inlineStr">
        <is>
          <t>SKÅNE LÄN</t>
        </is>
      </c>
      <c r="G197" t="inlineStr">
        <is>
          <t>ÖSTRA GÖINGE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46280</v>
      </c>
      <c r="F198" t="inlineStr">
        <is>
          <t>SKÅNE LÄN</t>
        </is>
      </c>
      <c r="G198" t="inlineStr">
        <is>
          <t>ÖSTRA GÖINGE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45856</v>
      </c>
      <c r="E199" s="1" t="n">
        <v>46280</v>
      </c>
      <c r="F199" t="inlineStr">
        <is>
          <t>SKÅNE LÄN</t>
        </is>
      </c>
      <c r="G199" t="inlineStr">
        <is>
          <t>ÖSTRA GÖINGE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45227</v>
      </c>
      <c r="E200" s="1" t="n">
        <v>46280</v>
      </c>
      <c r="F200" t="inlineStr">
        <is>
          <t>SKÅNE LÄN</t>
        </is>
      </c>
      <c r="G200" t="inlineStr">
        <is>
          <t>ÖSTRA GÖINGE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46280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45428</v>
      </c>
      <c r="E202" s="1" t="n">
        <v>46280</v>
      </c>
      <c r="F202" t="inlineStr">
        <is>
          <t>SKÅNE LÄN</t>
        </is>
      </c>
      <c r="G202" t="inlineStr">
        <is>
          <t>ÖSTRA GÖINGE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46280</v>
      </c>
      <c r="F203" t="inlineStr">
        <is>
          <t>SKÅNE LÄN</t>
        </is>
      </c>
      <c r="G203" t="inlineStr">
        <is>
          <t>ÖSTRA GÖINGE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46280</v>
      </c>
      <c r="F204" t="inlineStr">
        <is>
          <t>SKÅNE LÄN</t>
        </is>
      </c>
      <c r="G204" t="inlineStr">
        <is>
          <t>ÖSTRA GÖINGE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46280</v>
      </c>
      <c r="F205" t="inlineStr">
        <is>
          <t>SKÅNE LÄN</t>
        </is>
      </c>
      <c r="G205" t="inlineStr">
        <is>
          <t>ÖSTRA GÖINGE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46280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46280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46280</v>
      </c>
      <c r="F208" t="inlineStr">
        <is>
          <t>SKÅNE LÄN</t>
        </is>
      </c>
      <c r="G208" t="inlineStr">
        <is>
          <t>ÖSTRA GÖINGE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45489</v>
      </c>
      <c r="E209" s="1" t="n">
        <v>46280</v>
      </c>
      <c r="F209" t="inlineStr">
        <is>
          <t>SKÅNE LÄN</t>
        </is>
      </c>
      <c r="G209" t="inlineStr">
        <is>
          <t>ÖSTRA GÖINGE</t>
        </is>
      </c>
      <c r="I209" t="n">
        <v>11.9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45686</v>
      </c>
      <c r="E210" s="1" t="n">
        <v>46280</v>
      </c>
      <c r="F210" t="inlineStr">
        <is>
          <t>SKÅNE LÄN</t>
        </is>
      </c>
      <c r="G210" t="inlineStr">
        <is>
          <t>ÖSTRA GÖINGE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46280</v>
      </c>
      <c r="F211" t="inlineStr">
        <is>
          <t>SKÅNE LÄN</t>
        </is>
      </c>
      <c r="G211" t="inlineStr">
        <is>
          <t>ÖSTRA GÖINGE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46280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46280</v>
      </c>
      <c r="F213" t="inlineStr">
        <is>
          <t>SKÅNE LÄN</t>
        </is>
      </c>
      <c r="G213" t="inlineStr">
        <is>
          <t>ÖSTRA GÖINGE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46280</v>
      </c>
      <c r="F214" t="inlineStr">
        <is>
          <t>SKÅNE LÄN</t>
        </is>
      </c>
      <c r="G214" t="inlineStr">
        <is>
          <t>ÖSTRA GÖINGE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46280</v>
      </c>
      <c r="F215" t="inlineStr">
        <is>
          <t>SKÅNE LÄN</t>
        </is>
      </c>
      <c r="G215" t="inlineStr">
        <is>
          <t>ÖSTRA GÖINGE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46280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45970</v>
      </c>
      <c r="E217" s="1" t="n">
        <v>46280</v>
      </c>
      <c r="F217" t="inlineStr">
        <is>
          <t>SKÅNE LÄN</t>
        </is>
      </c>
      <c r="G217" t="inlineStr">
        <is>
          <t>ÖSTRA GÖINGE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46280</v>
      </c>
      <c r="F218" t="inlineStr">
        <is>
          <t>SKÅNE LÄN</t>
        </is>
      </c>
      <c r="G218" t="inlineStr">
        <is>
          <t>ÖSTRA GÖINGE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45316</v>
      </c>
      <c r="E219" s="1" t="n">
        <v>46280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46280</v>
      </c>
      <c r="F220" t="inlineStr">
        <is>
          <t>SKÅNE LÄN</t>
        </is>
      </c>
      <c r="G220" t="inlineStr">
        <is>
          <t>ÖSTRA GÖINGE</t>
        </is>
      </c>
      <c r="H220" t="inlineStr">
        <is>
          <t>Sveaskog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46132</v>
      </c>
      <c r="E221" s="1" t="n">
        <v>46280</v>
      </c>
      <c r="F221" t="inlineStr">
        <is>
          <t>SKÅNE LÄN</t>
        </is>
      </c>
      <c r="G221" t="inlineStr">
        <is>
          <t>ÖSTRA GÖINGE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46280</v>
      </c>
      <c r="F222" t="inlineStr">
        <is>
          <t>SKÅNE LÄN</t>
        </is>
      </c>
      <c r="G222" t="inlineStr">
        <is>
          <t>ÖSTRA GÖINGE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45422</v>
      </c>
      <c r="E223" s="1" t="n">
        <v>46280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46280</v>
      </c>
      <c r="F224" t="inlineStr">
        <is>
          <t>SKÅNE LÄN</t>
        </is>
      </c>
      <c r="G224" t="inlineStr">
        <is>
          <t>ÖSTRA GÖINGE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44627</v>
      </c>
      <c r="E225" s="1" t="n">
        <v>46280</v>
      </c>
      <c r="F225" t="inlineStr">
        <is>
          <t>SKÅNE LÄN</t>
        </is>
      </c>
      <c r="G225" t="inlineStr">
        <is>
          <t>ÖSTRA GÖINGE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44937</v>
      </c>
      <c r="E226" s="1" t="n">
        <v>46280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46132</v>
      </c>
      <c r="E227" s="1" t="n">
        <v>46280</v>
      </c>
      <c r="F227" t="inlineStr">
        <is>
          <t>SKÅNE LÄN</t>
        </is>
      </c>
      <c r="G227" t="inlineStr">
        <is>
          <t>ÖSTRA GÖINGE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46280</v>
      </c>
      <c r="F228" t="inlineStr">
        <is>
          <t>SKÅNE LÄN</t>
        </is>
      </c>
      <c r="G228" t="inlineStr">
        <is>
          <t>ÖSTRA GÖINGE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46280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46280</v>
      </c>
      <c r="F230" t="inlineStr">
        <is>
          <t>SKÅNE LÄN</t>
        </is>
      </c>
      <c r="G230" t="inlineStr">
        <is>
          <t>ÖSTRA GÖINGE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46280</v>
      </c>
      <c r="F231" t="inlineStr">
        <is>
          <t>SKÅNE LÄN</t>
        </is>
      </c>
      <c r="G231" t="inlineStr">
        <is>
          <t>ÖSTRA GÖINGE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46280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46280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46280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46280</v>
      </c>
      <c r="F235" t="inlineStr">
        <is>
          <t>SKÅNE LÄN</t>
        </is>
      </c>
      <c r="G235" t="inlineStr">
        <is>
          <t>ÖSTRA GÖINGE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46280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11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46280</v>
      </c>
      <c r="F237" t="inlineStr">
        <is>
          <t>SKÅNE LÄN</t>
        </is>
      </c>
      <c r="G237" t="inlineStr">
        <is>
          <t>ÖSTRA GÖINGE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71741-2021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46280</v>
      </c>
      <c r="F238" t="inlineStr">
        <is>
          <t>SKÅNE LÄN</t>
        </is>
      </c>
      <c r="G238" t="inlineStr">
        <is>
          <t>ÖSTRA GÖINGE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46280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46280</v>
      </c>
      <c r="F240" t="inlineStr">
        <is>
          <t>SKÅNE LÄN</t>
        </is>
      </c>
      <c r="G240" t="inlineStr">
        <is>
          <t>ÖSTRA GÖINGE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46280</v>
      </c>
      <c r="F241" t="inlineStr">
        <is>
          <t>SKÅNE LÄN</t>
        </is>
      </c>
      <c r="G241" t="inlineStr">
        <is>
          <t>ÖSTRA GÖINGE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46280</v>
      </c>
      <c r="F242" t="inlineStr">
        <is>
          <t>SKÅNE LÄN</t>
        </is>
      </c>
      <c r="G242" t="inlineStr">
        <is>
          <t>ÖSTRA GÖINGE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46280</v>
      </c>
      <c r="F243" t="inlineStr">
        <is>
          <t>SKÅNE LÄN</t>
        </is>
      </c>
      <c r="G243" t="inlineStr">
        <is>
          <t>ÖSTRA GÖINGE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46280</v>
      </c>
      <c r="F244" t="inlineStr">
        <is>
          <t>SKÅNE LÄN</t>
        </is>
      </c>
      <c r="G244" t="inlineStr">
        <is>
          <t>ÖSTRA GÖINGE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46280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46280</v>
      </c>
      <c r="F246" t="inlineStr">
        <is>
          <t>SKÅNE LÄN</t>
        </is>
      </c>
      <c r="G246" t="inlineStr">
        <is>
          <t>ÖSTRA GÖINGE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44914</v>
      </c>
      <c r="E247" s="1" t="n">
        <v>46280</v>
      </c>
      <c r="F247" t="inlineStr">
        <is>
          <t>SKÅNE LÄN</t>
        </is>
      </c>
      <c r="G247" t="inlineStr">
        <is>
          <t>ÖSTRA GÖINGE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45638</v>
      </c>
      <c r="E248" s="1" t="n">
        <v>46280</v>
      </c>
      <c r="F248" t="inlineStr">
        <is>
          <t>SKÅNE LÄN</t>
        </is>
      </c>
      <c r="G248" t="inlineStr">
        <is>
          <t>ÖSTRA GÖINGE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46280</v>
      </c>
      <c r="F249" t="inlineStr">
        <is>
          <t>SKÅNE LÄN</t>
        </is>
      </c>
      <c r="G249" t="inlineStr">
        <is>
          <t>ÖSTRA GÖINGE</t>
        </is>
      </c>
      <c r="H249" t="inlineStr">
        <is>
          <t>Sveaskog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46280</v>
      </c>
      <c r="F250" t="inlineStr">
        <is>
          <t>SKÅNE LÄN</t>
        </is>
      </c>
      <c r="G250" t="inlineStr">
        <is>
          <t>ÖSTRA GÖINGE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46279-2024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45581</v>
      </c>
      <c r="E251" s="1" t="n">
        <v>46280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46280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46280</v>
      </c>
      <c r="F253" t="inlineStr">
        <is>
          <t>SKÅNE LÄN</t>
        </is>
      </c>
      <c r="G253" t="inlineStr">
        <is>
          <t>ÖSTRA GÖINGE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46280</v>
      </c>
      <c r="F254" t="inlineStr">
        <is>
          <t>SKÅNE LÄN</t>
        </is>
      </c>
      <c r="G254" t="inlineStr">
        <is>
          <t>ÖSTRA GÖINGE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44853</v>
      </c>
      <c r="E255" s="1" t="n">
        <v>46280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46280</v>
      </c>
      <c r="F256" t="inlineStr">
        <is>
          <t>SKÅNE LÄN</t>
        </is>
      </c>
      <c r="G256" t="inlineStr">
        <is>
          <t>ÖSTRA GÖINGE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45268</v>
      </c>
      <c r="E257" s="1" t="n">
        <v>46280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45082</v>
      </c>
      <c r="E258" s="1" t="n">
        <v>46280</v>
      </c>
      <c r="F258" t="inlineStr">
        <is>
          <t>SKÅNE LÄN</t>
        </is>
      </c>
      <c r="G258" t="inlineStr">
        <is>
          <t>ÖSTRA GÖINGE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46280</v>
      </c>
      <c r="F259" t="inlineStr">
        <is>
          <t>SKÅNE LÄN</t>
        </is>
      </c>
      <c r="G259" t="inlineStr">
        <is>
          <t>ÖSTRA GÖINGE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46280</v>
      </c>
      <c r="F260" t="inlineStr">
        <is>
          <t>SKÅNE LÄN</t>
        </is>
      </c>
      <c r="G260" t="inlineStr">
        <is>
          <t>ÖSTRA GÖINGE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46280</v>
      </c>
      <c r="F261" t="inlineStr">
        <is>
          <t>SKÅNE LÄN</t>
        </is>
      </c>
      <c r="G261" t="inlineStr">
        <is>
          <t>ÖSTRA GÖINGE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46280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45569</v>
      </c>
      <c r="E263" s="1" t="n">
        <v>46280</v>
      </c>
      <c r="F263" t="inlineStr">
        <is>
          <t>SKÅNE LÄN</t>
        </is>
      </c>
      <c r="G263" t="inlineStr">
        <is>
          <t>ÖSTRA GÖINGE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46280</v>
      </c>
      <c r="F264" t="inlineStr">
        <is>
          <t>SKÅNE LÄN</t>
        </is>
      </c>
      <c r="G264" t="inlineStr">
        <is>
          <t>ÖSTRA GÖINGE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46280</v>
      </c>
      <c r="F265" t="inlineStr">
        <is>
          <t>SKÅNE LÄN</t>
        </is>
      </c>
      <c r="G265" t="inlineStr">
        <is>
          <t>ÖSTRA GÖINGE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46280</v>
      </c>
      <c r="F266" t="inlineStr">
        <is>
          <t>SKÅNE LÄN</t>
        </is>
      </c>
      <c r="G266" t="inlineStr">
        <is>
          <t>ÖSTRA GÖINGE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45410</v>
      </c>
      <c r="E267" s="1" t="n">
        <v>46280</v>
      </c>
      <c r="F267" t="inlineStr">
        <is>
          <t>SKÅNE LÄN</t>
        </is>
      </c>
      <c r="G267" t="inlineStr">
        <is>
          <t>ÖSTRA GÖINGE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40843-2023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45172</v>
      </c>
      <c r="E268" s="1" t="n">
        <v>46280</v>
      </c>
      <c r="F268" t="inlineStr">
        <is>
          <t>SKÅNE LÄN</t>
        </is>
      </c>
      <c r="G268" t="inlineStr">
        <is>
          <t>ÖSTRA GÖINGE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46280</v>
      </c>
      <c r="F269" t="inlineStr">
        <is>
          <t>SKÅNE LÄN</t>
        </is>
      </c>
      <c r="G269" t="inlineStr">
        <is>
          <t>ÖSTRA GÖINGE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46280</v>
      </c>
      <c r="F270" t="inlineStr">
        <is>
          <t>SKÅNE LÄN</t>
        </is>
      </c>
      <c r="G270" t="inlineStr">
        <is>
          <t>ÖSTRA GÖINGE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46280</v>
      </c>
      <c r="F271" t="inlineStr">
        <is>
          <t>SKÅNE LÄN</t>
        </is>
      </c>
      <c r="G271" t="inlineStr">
        <is>
          <t>ÖSTRA GÖINGE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45405</v>
      </c>
      <c r="E272" s="1" t="n">
        <v>46280</v>
      </c>
      <c r="F272" t="inlineStr">
        <is>
          <t>SKÅNE LÄN</t>
        </is>
      </c>
      <c r="G272" t="inlineStr">
        <is>
          <t>ÖSTRA GÖINGE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46280</v>
      </c>
      <c r="F273" t="inlineStr">
        <is>
          <t>SKÅNE LÄN</t>
        </is>
      </c>
      <c r="G273" t="inlineStr">
        <is>
          <t>ÖSTRA GÖINGE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47628-2022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44852</v>
      </c>
      <c r="E274" s="1" t="n">
        <v>46280</v>
      </c>
      <c r="F274" t="inlineStr">
        <is>
          <t>SKÅNE LÄN</t>
        </is>
      </c>
      <c r="G274" t="inlineStr">
        <is>
          <t>ÖSTRA GÖINGE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21260-2026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46147</v>
      </c>
      <c r="E275" s="1" t="n">
        <v>46280</v>
      </c>
      <c r="F275" t="inlineStr">
        <is>
          <t>SKÅNE LÄN</t>
        </is>
      </c>
      <c r="G275" t="inlineStr">
        <is>
          <t>ÖSTRA GÖINGE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45680</v>
      </c>
      <c r="E276" s="1" t="n">
        <v>46280</v>
      </c>
      <c r="F276" t="inlineStr">
        <is>
          <t>SKÅNE LÄN</t>
        </is>
      </c>
      <c r="G276" t="inlineStr">
        <is>
          <t>ÖSTRA GÖINGE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45541</v>
      </c>
      <c r="E277" s="1" t="n">
        <v>46280</v>
      </c>
      <c r="F277" t="inlineStr">
        <is>
          <t>SKÅNE LÄN</t>
        </is>
      </c>
      <c r="G277" t="inlineStr">
        <is>
          <t>ÖSTRA GÖINGE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46280</v>
      </c>
      <c r="F278" t="inlineStr">
        <is>
          <t>SKÅNE LÄN</t>
        </is>
      </c>
      <c r="G278" t="inlineStr">
        <is>
          <t>ÖSTRA GÖINGE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52522-2021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44466</v>
      </c>
      <c r="E279" s="1" t="n">
        <v>46280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46280</v>
      </c>
      <c r="F280" t="inlineStr">
        <is>
          <t>SKÅNE LÄN</t>
        </is>
      </c>
      <c r="G280" t="inlineStr">
        <is>
          <t>ÖSTRA GÖINGE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7387-2022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44606</v>
      </c>
      <c r="E281" s="1" t="n">
        <v>46280</v>
      </c>
      <c r="F281" t="inlineStr">
        <is>
          <t>SKÅNE LÄN</t>
        </is>
      </c>
      <c r="G281" t="inlineStr">
        <is>
          <t>ÖSTRA GÖINGE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58279-2024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45632</v>
      </c>
      <c r="E282" s="1" t="n">
        <v>46280</v>
      </c>
      <c r="F282" t="inlineStr">
        <is>
          <t>SKÅNE LÄN</t>
        </is>
      </c>
      <c r="G282" t="inlineStr">
        <is>
          <t>ÖSTRA GÖINGE</t>
        </is>
      </c>
      <c r="I282" t="n">
        <v>9.4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46280</v>
      </c>
      <c r="F283" t="inlineStr">
        <is>
          <t>SKÅNE LÄN</t>
        </is>
      </c>
      <c r="G283" t="inlineStr">
        <is>
          <t>ÖSTRA GÖINGE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46280</v>
      </c>
      <c r="F284" t="inlineStr">
        <is>
          <t>SKÅNE LÄN</t>
        </is>
      </c>
      <c r="G284" t="inlineStr">
        <is>
          <t>ÖSTRA GÖINGE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45139</v>
      </c>
      <c r="E285" s="1" t="n">
        <v>46280</v>
      </c>
      <c r="F285" t="inlineStr">
        <is>
          <t>SKÅNE LÄN</t>
        </is>
      </c>
      <c r="G285" t="inlineStr">
        <is>
          <t>ÖSTRA GÖINGE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43478-2023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45184</v>
      </c>
      <c r="E286" s="1" t="n">
        <v>46280</v>
      </c>
      <c r="F286" t="inlineStr">
        <is>
          <t>SKÅNE LÄN</t>
        </is>
      </c>
      <c r="G286" t="inlineStr">
        <is>
          <t>ÖSTRA GÖINGE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45807</v>
      </c>
      <c r="E287" s="1" t="n">
        <v>46280</v>
      </c>
      <c r="F287" t="inlineStr">
        <is>
          <t>SKÅNE LÄN</t>
        </is>
      </c>
      <c r="G287" t="inlineStr">
        <is>
          <t>ÖSTRA GÖINGE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46280</v>
      </c>
      <c r="F288" t="inlineStr">
        <is>
          <t>SKÅNE LÄN</t>
        </is>
      </c>
      <c r="G288" t="inlineStr">
        <is>
          <t>ÖSTRA GÖINGE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45198</v>
      </c>
      <c r="E289" s="1" t="n">
        <v>46280</v>
      </c>
      <c r="F289" t="inlineStr">
        <is>
          <t>SKÅNE LÄN</t>
        </is>
      </c>
      <c r="G289" t="inlineStr">
        <is>
          <t>ÖSTRA GÖINGE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46280</v>
      </c>
      <c r="F290" t="inlineStr">
        <is>
          <t>SKÅNE LÄN</t>
        </is>
      </c>
      <c r="G290" t="inlineStr">
        <is>
          <t>ÖSTRA GÖINGE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46280</v>
      </c>
      <c r="F291" t="inlineStr">
        <is>
          <t>SKÅNE LÄN</t>
        </is>
      </c>
      <c r="G291" t="inlineStr">
        <is>
          <t>ÖSTRA GÖINGE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45733</v>
      </c>
      <c r="E292" s="1" t="n">
        <v>46280</v>
      </c>
      <c r="F292" t="inlineStr">
        <is>
          <t>SKÅNE LÄN</t>
        </is>
      </c>
      <c r="G292" t="inlineStr">
        <is>
          <t>ÖSTRA GÖINGE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46280</v>
      </c>
      <c r="F293" t="inlineStr">
        <is>
          <t>SKÅNE LÄN</t>
        </is>
      </c>
      <c r="G293" t="inlineStr">
        <is>
          <t>ÖSTRA GÖINGE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45686</v>
      </c>
      <c r="E294" s="1" t="n">
        <v>46280</v>
      </c>
      <c r="F294" t="inlineStr">
        <is>
          <t>SKÅNE LÄN</t>
        </is>
      </c>
      <c r="G294" t="inlineStr">
        <is>
          <t>ÖSTRA GÖINGE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46280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46280</v>
      </c>
      <c r="F296" t="inlineStr">
        <is>
          <t>SKÅNE LÄN</t>
        </is>
      </c>
      <c r="G296" t="inlineStr">
        <is>
          <t>ÖSTRA GÖINGE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46280</v>
      </c>
      <c r="F297" t="inlineStr">
        <is>
          <t>SKÅNE LÄN</t>
        </is>
      </c>
      <c r="G297" t="inlineStr">
        <is>
          <t>ÖSTRA GÖINGE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46280</v>
      </c>
      <c r="F298" t="inlineStr">
        <is>
          <t>SKÅNE LÄN</t>
        </is>
      </c>
      <c r="G298" t="inlineStr">
        <is>
          <t>ÖSTRA GÖINGE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44897</v>
      </c>
      <c r="E299" s="1" t="n">
        <v>46280</v>
      </c>
      <c r="F299" t="inlineStr">
        <is>
          <t>SKÅNE LÄN</t>
        </is>
      </c>
      <c r="G299" t="inlineStr">
        <is>
          <t>ÖSTRA GÖINGE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45069</v>
      </c>
      <c r="E300" s="1" t="n">
        <v>46280</v>
      </c>
      <c r="F300" t="inlineStr">
        <is>
          <t>SKÅNE LÄN</t>
        </is>
      </c>
      <c r="G300" t="inlineStr">
        <is>
          <t>ÖSTRA GÖINGE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69383-2021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46280</v>
      </c>
      <c r="F301" t="inlineStr">
        <is>
          <t>SKÅNE LÄN</t>
        </is>
      </c>
      <c r="G301" t="inlineStr">
        <is>
          <t>ÖSTRA GÖINGE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69390-2021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46280</v>
      </c>
      <c r="F302" t="inlineStr">
        <is>
          <t>SKÅNE LÄN</t>
        </is>
      </c>
      <c r="G302" t="inlineStr">
        <is>
          <t>ÖSTRA GÖINGE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44918</v>
      </c>
      <c r="E303" s="1" t="n">
        <v>46280</v>
      </c>
      <c r="F303" t="inlineStr">
        <is>
          <t>SKÅNE LÄN</t>
        </is>
      </c>
      <c r="G303" t="inlineStr">
        <is>
          <t>ÖSTRA GÖINGE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46280</v>
      </c>
      <c r="F304" t="inlineStr">
        <is>
          <t>SKÅNE LÄN</t>
        </is>
      </c>
      <c r="G304" t="inlineStr">
        <is>
          <t>ÖSTRA GÖINGE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44585</v>
      </c>
      <c r="E305" s="1" t="n">
        <v>46280</v>
      </c>
      <c r="F305" t="inlineStr">
        <is>
          <t>SKÅNE LÄN</t>
        </is>
      </c>
      <c r="G305" t="inlineStr">
        <is>
          <t>ÖSTRA GÖINGE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46280</v>
      </c>
      <c r="F306" t="inlineStr">
        <is>
          <t>SKÅNE LÄN</t>
        </is>
      </c>
      <c r="G306" t="inlineStr">
        <is>
          <t>ÖSTRA GÖINGE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46176</v>
      </c>
      <c r="E307" s="1" t="n">
        <v>46280</v>
      </c>
      <c r="F307" t="inlineStr">
        <is>
          <t>SKÅNE LÄN</t>
        </is>
      </c>
      <c r="G307" t="inlineStr">
        <is>
          <t>ÖSTRA GÖINGE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46280</v>
      </c>
      <c r="F308" t="inlineStr">
        <is>
          <t>SKÅNE LÄN</t>
        </is>
      </c>
      <c r="G308" t="inlineStr">
        <is>
          <t>ÖSTRA GÖINGE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46280</v>
      </c>
      <c r="F309" t="inlineStr">
        <is>
          <t>SKÅNE LÄN</t>
        </is>
      </c>
      <c r="G309" t="inlineStr">
        <is>
          <t>ÖSTRA GÖINGE</t>
        </is>
      </c>
      <c r="I309" t="n">
        <v>34.5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64181-2023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45279</v>
      </c>
      <c r="E310" s="1" t="n">
        <v>46280</v>
      </c>
      <c r="F310" t="inlineStr">
        <is>
          <t>SKÅNE LÄN</t>
        </is>
      </c>
      <c r="G310" t="inlineStr">
        <is>
          <t>ÖSTRA GÖINGE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46280</v>
      </c>
      <c r="F311" t="inlineStr">
        <is>
          <t>SKÅNE LÄN</t>
        </is>
      </c>
      <c r="G311" t="inlineStr">
        <is>
          <t>ÖSTRA GÖINGE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46182</v>
      </c>
      <c r="E312" s="1" t="n">
        <v>46280</v>
      </c>
      <c r="F312" t="inlineStr">
        <is>
          <t>SKÅNE LÄN</t>
        </is>
      </c>
      <c r="G312" t="inlineStr">
        <is>
          <t>ÖSTRA GÖINGE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46280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46280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45310</v>
      </c>
      <c r="E315" s="1" t="n">
        <v>46280</v>
      </c>
      <c r="F315" t="inlineStr">
        <is>
          <t>SKÅNE LÄN</t>
        </is>
      </c>
      <c r="G315" t="inlineStr">
        <is>
          <t>ÖSTRA GÖINGE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46241</v>
      </c>
      <c r="E316" s="1" t="n">
        <v>46280</v>
      </c>
      <c r="F316" t="inlineStr">
        <is>
          <t>SKÅNE LÄN</t>
        </is>
      </c>
      <c r="G316" t="inlineStr">
        <is>
          <t>ÖSTRA GÖINGE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46280</v>
      </c>
      <c r="F317" t="inlineStr">
        <is>
          <t>SKÅNE LÄN</t>
        </is>
      </c>
      <c r="G317" t="inlineStr">
        <is>
          <t>ÖSTRA GÖINGE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30111-2026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46206</v>
      </c>
      <c r="E318" s="1" t="n">
        <v>46280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33552-2026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46248</v>
      </c>
      <c r="E319" s="1" t="n">
        <v>46280</v>
      </c>
      <c r="F319" t="inlineStr">
        <is>
          <t>SKÅNE LÄN</t>
        </is>
      </c>
      <c r="G319" t="inlineStr">
        <is>
          <t>ÖSTRA GÖINGE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46280</v>
      </c>
      <c r="F320" t="inlineStr">
        <is>
          <t>SKÅNE LÄN</t>
        </is>
      </c>
      <c r="G320" t="inlineStr">
        <is>
          <t>ÖSTRA GÖINGE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46280</v>
      </c>
      <c r="F321" t="inlineStr">
        <is>
          <t>SKÅNE LÄN</t>
        </is>
      </c>
      <c r="G321" t="inlineStr">
        <is>
          <t>ÖSTRA GÖINGE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46280</v>
      </c>
      <c r="F322" t="inlineStr">
        <is>
          <t>SKÅNE LÄN</t>
        </is>
      </c>
      <c r="G322" t="inlineStr">
        <is>
          <t>ÖSTRA GÖINGE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46280</v>
      </c>
      <c r="F323" t="inlineStr">
        <is>
          <t>SKÅNE LÄN</t>
        </is>
      </c>
      <c r="G323" t="inlineStr">
        <is>
          <t>ÖSTRA GÖINGE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46280</v>
      </c>
      <c r="F324" t="inlineStr">
        <is>
          <t>SKÅNE LÄN</t>
        </is>
      </c>
      <c r="G324" t="inlineStr">
        <is>
          <t>ÖSTRA GÖINGE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46280</v>
      </c>
      <c r="F325" t="inlineStr">
        <is>
          <t>SKÅNE LÄN</t>
        </is>
      </c>
      <c r="G325" t="inlineStr">
        <is>
          <t>ÖSTRA GÖINGE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46280</v>
      </c>
      <c r="F326" t="inlineStr">
        <is>
          <t>SKÅNE LÄN</t>
        </is>
      </c>
      <c r="G326" t="inlineStr">
        <is>
          <t>ÖSTRA GÖINGE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8380-2023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44977</v>
      </c>
      <c r="E327" s="1" t="n">
        <v>46280</v>
      </c>
      <c r="F327" t="inlineStr">
        <is>
          <t>SKÅNE LÄN</t>
        </is>
      </c>
      <c r="G327" t="inlineStr">
        <is>
          <t>ÖSTRA GÖINGE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45239</v>
      </c>
      <c r="E328" s="1" t="n">
        <v>46280</v>
      </c>
      <c r="F328" t="inlineStr">
        <is>
          <t>SKÅNE LÄN</t>
        </is>
      </c>
      <c r="G328" t="inlineStr">
        <is>
          <t>ÖSTRA GÖINGE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46280</v>
      </c>
      <c r="F329" t="inlineStr">
        <is>
          <t>SKÅNE LÄN</t>
        </is>
      </c>
      <c r="G329" t="inlineStr">
        <is>
          <t>ÖSTRA GÖINGE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46280</v>
      </c>
      <c r="F330" t="inlineStr">
        <is>
          <t>SKÅNE LÄN</t>
        </is>
      </c>
      <c r="G330" t="inlineStr">
        <is>
          <t>ÖSTRA GÖINGE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46280</v>
      </c>
      <c r="F331" t="inlineStr">
        <is>
          <t>SKÅNE LÄN</t>
        </is>
      </c>
      <c r="G331" t="inlineStr">
        <is>
          <t>ÖSTRA GÖINGE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46258</v>
      </c>
      <c r="E332" s="1" t="n">
        <v>46280</v>
      </c>
      <c r="F332" t="inlineStr">
        <is>
          <t>SKÅNE LÄN</t>
        </is>
      </c>
      <c r="G332" t="inlineStr">
        <is>
          <t>ÖSTRA GÖINGE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46280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46280</v>
      </c>
      <c r="F334" t="inlineStr">
        <is>
          <t>SKÅNE LÄN</t>
        </is>
      </c>
      <c r="G334" t="inlineStr">
        <is>
          <t>ÖSTRA GÖINGE</t>
        </is>
      </c>
      <c r="H334" t="inlineStr">
        <is>
          <t>Sveaskog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45758</v>
      </c>
      <c r="E335" s="1" t="n">
        <v>46280</v>
      </c>
      <c r="F335" t="inlineStr">
        <is>
          <t>SKÅNE LÄN</t>
        </is>
      </c>
      <c r="G335" t="inlineStr">
        <is>
          <t>ÖSTRA GÖINGE</t>
        </is>
      </c>
      <c r="H335" t="inlineStr">
        <is>
          <t>Sveaskog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46280</v>
      </c>
      <c r="F336" t="inlineStr">
        <is>
          <t>SKÅNE LÄN</t>
        </is>
      </c>
      <c r="G336" t="inlineStr">
        <is>
          <t>ÖSTRA GÖINGE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46280</v>
      </c>
      <c r="F337" t="inlineStr">
        <is>
          <t>SKÅNE LÄN</t>
        </is>
      </c>
      <c r="G337" t="inlineStr">
        <is>
          <t>ÖSTRA GÖINGE</t>
        </is>
      </c>
      <c r="I337" t="n">
        <v>8.5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34840-2026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46258</v>
      </c>
      <c r="E338" s="1" t="n">
        <v>46280</v>
      </c>
      <c r="F338" t="inlineStr">
        <is>
          <t>SKÅNE LÄN</t>
        </is>
      </c>
      <c r="G338" t="inlineStr">
        <is>
          <t>ÖSTRA GÖINGE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46280</v>
      </c>
      <c r="F339" t="inlineStr">
        <is>
          <t>SKÅNE LÄN</t>
        </is>
      </c>
      <c r="G339" t="inlineStr">
        <is>
          <t>ÖSTRA GÖINGE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46280</v>
      </c>
      <c r="F340" t="inlineStr">
        <is>
          <t>SKÅNE LÄN</t>
        </is>
      </c>
      <c r="G340" t="inlineStr">
        <is>
          <t>ÖSTRA GÖINGE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50922-2021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44459</v>
      </c>
      <c r="E341" s="1" t="n">
        <v>46280</v>
      </c>
      <c r="F341" t="inlineStr">
        <is>
          <t>SKÅNE LÄN</t>
        </is>
      </c>
      <c r="G341" t="inlineStr">
        <is>
          <t>ÖSTRA GÖINGE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46280</v>
      </c>
      <c r="F342" t="inlineStr">
        <is>
          <t>SKÅNE LÄN</t>
        </is>
      </c>
      <c r="G342" t="inlineStr">
        <is>
          <t>ÖSTRA GÖINGE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45443</v>
      </c>
      <c r="E343" s="1" t="n">
        <v>46280</v>
      </c>
      <c r="F343" t="inlineStr">
        <is>
          <t>SKÅNE LÄN</t>
        </is>
      </c>
      <c r="G343" t="inlineStr">
        <is>
          <t>ÖSTRA GÖINGE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44937</v>
      </c>
      <c r="E344" s="1" t="n">
        <v>46280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66526-2021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44519</v>
      </c>
      <c r="E345" s="1" t="n">
        <v>46280</v>
      </c>
      <c r="F345" t="inlineStr">
        <is>
          <t>SKÅNE LÄN</t>
        </is>
      </c>
      <c r="G345" t="inlineStr">
        <is>
          <t>ÖSTRA GÖINGE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44929</v>
      </c>
      <c r="E346" s="1" t="n">
        <v>46280</v>
      </c>
      <c r="F346" t="inlineStr">
        <is>
          <t>SKÅNE LÄN</t>
        </is>
      </c>
      <c r="G346" t="inlineStr">
        <is>
          <t>ÖSTRA GÖINGE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46280</v>
      </c>
      <c r="F347" t="inlineStr">
        <is>
          <t>SKÅNE LÄN</t>
        </is>
      </c>
      <c r="G347" t="inlineStr">
        <is>
          <t>ÖSTRA GÖINGE</t>
        </is>
      </c>
      <c r="I347" t="n">
        <v>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46280</v>
      </c>
      <c r="F348" t="inlineStr">
        <is>
          <t>SKÅNE LÄN</t>
        </is>
      </c>
      <c r="G348" t="inlineStr">
        <is>
          <t>ÖSTRA GÖINGE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44686</v>
      </c>
      <c r="E349" s="1" t="n">
        <v>46280</v>
      </c>
      <c r="F349" t="inlineStr">
        <is>
          <t>SKÅNE LÄN</t>
        </is>
      </c>
      <c r="G349" t="inlineStr">
        <is>
          <t>ÖSTRA GÖINGE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20407-2024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45435</v>
      </c>
      <c r="E350" s="1" t="n">
        <v>46280</v>
      </c>
      <c r="F350" t="inlineStr">
        <is>
          <t>SKÅNE LÄN</t>
        </is>
      </c>
      <c r="G350" t="inlineStr">
        <is>
          <t>ÖSTRA GÖINGE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46269</v>
      </c>
      <c r="E351" s="1" t="n">
        <v>46280</v>
      </c>
      <c r="F351" t="inlineStr">
        <is>
          <t>SKÅNE LÄN</t>
        </is>
      </c>
      <c r="G351" t="inlineStr">
        <is>
          <t>ÖSTRA GÖINGE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26339-2023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46280</v>
      </c>
      <c r="F352" t="inlineStr">
        <is>
          <t>SKÅNE LÄN</t>
        </is>
      </c>
      <c r="G352" t="inlineStr">
        <is>
          <t>ÖSTRA GÖINGE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63891-2023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45278</v>
      </c>
      <c r="E353" s="1" t="n">
        <v>46280</v>
      </c>
      <c r="F353" t="inlineStr">
        <is>
          <t>SKÅNE LÄN</t>
        </is>
      </c>
      <c r="G353" t="inlineStr">
        <is>
          <t>ÖSTRA GÖINGE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42192-2023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45179</v>
      </c>
      <c r="E354" s="1" t="n">
        <v>46280</v>
      </c>
      <c r="F354" t="inlineStr">
        <is>
          <t>SKÅNE LÄN</t>
        </is>
      </c>
      <c r="G354" t="inlineStr">
        <is>
          <t>ÖSTRA GÖINGE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45029</v>
      </c>
      <c r="E355" s="1" t="n">
        <v>46280</v>
      </c>
      <c r="F355" t="inlineStr">
        <is>
          <t>SKÅNE LÄN</t>
        </is>
      </c>
      <c r="G355" t="inlineStr">
        <is>
          <t>ÖSTRA GÖINGE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44910</v>
      </c>
      <c r="E356" s="1" t="n">
        <v>46280</v>
      </c>
      <c r="F356" t="inlineStr">
        <is>
          <t>SKÅNE LÄN</t>
        </is>
      </c>
      <c r="G356" t="inlineStr">
        <is>
          <t>ÖSTRA GÖINGE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46280</v>
      </c>
      <c r="F357" t="inlineStr">
        <is>
          <t>SKÅNE LÄN</t>
        </is>
      </c>
      <c r="G357" t="inlineStr">
        <is>
          <t>ÖSTRA GÖINGE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46275</v>
      </c>
      <c r="E358" s="1" t="n">
        <v>46280</v>
      </c>
      <c r="F358" t="inlineStr">
        <is>
          <t>SKÅNE LÄN</t>
        </is>
      </c>
      <c r="G358" t="inlineStr">
        <is>
          <t>ÖSTRA GÖINGE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46275</v>
      </c>
      <c r="E359" s="1" t="n">
        <v>46280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46280</v>
      </c>
      <c r="F360" t="inlineStr">
        <is>
          <t>SKÅNE LÄN</t>
        </is>
      </c>
      <c r="G360" t="inlineStr">
        <is>
          <t>ÖSTRA GÖINGE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41548-2022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44826</v>
      </c>
      <c r="E361" s="1" t="n">
        <v>46280</v>
      </c>
      <c r="F361" t="inlineStr">
        <is>
          <t>SKÅNE LÄN</t>
        </is>
      </c>
      <c r="G361" t="inlineStr">
        <is>
          <t>ÖSTRA GÖINGE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46280</v>
      </c>
      <c r="F362" t="inlineStr">
        <is>
          <t>SKÅNE LÄN</t>
        </is>
      </c>
      <c r="G362" t="inlineStr">
        <is>
          <t>ÖSTRA GÖINGE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46280</v>
      </c>
      <c r="F363" t="inlineStr">
        <is>
          <t>SKÅNE LÄN</t>
        </is>
      </c>
      <c r="G363" t="inlineStr">
        <is>
          <t>ÖSTRA GÖINGE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46280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46280</v>
      </c>
      <c r="F365" t="inlineStr">
        <is>
          <t>SKÅNE LÄN</t>
        </is>
      </c>
      <c r="G365" t="inlineStr">
        <is>
          <t>ÖSTRA GÖINGE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9537-2023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44981</v>
      </c>
      <c r="E366" s="1" t="n">
        <v>46280</v>
      </c>
      <c r="F366" t="inlineStr">
        <is>
          <t>SKÅNE LÄN</t>
        </is>
      </c>
      <c r="G366" t="inlineStr">
        <is>
          <t>ÖSTRA GÖINGE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45727</v>
      </c>
      <c r="E367" s="1" t="n">
        <v>46280</v>
      </c>
      <c r="F367" t="inlineStr">
        <is>
          <t>SKÅNE LÄN</t>
        </is>
      </c>
      <c r="G367" t="inlineStr">
        <is>
          <t>ÖSTRA GÖINGE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45483</v>
      </c>
      <c r="E368" s="1" t="n">
        <v>46280</v>
      </c>
      <c r="F368" t="inlineStr">
        <is>
          <t>SKÅNE LÄN</t>
        </is>
      </c>
      <c r="G368" t="inlineStr">
        <is>
          <t>ÖSTRA GÖINGE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74142-2021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44557</v>
      </c>
      <c r="E369" s="1" t="n">
        <v>46280</v>
      </c>
      <c r="F369" t="inlineStr">
        <is>
          <t>SKÅNE LÄN</t>
        </is>
      </c>
      <c r="G369" t="inlineStr">
        <is>
          <t>ÖSTRA GÖINGE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55490-2022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46280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45256</v>
      </c>
      <c r="E371" s="1" t="n">
        <v>46280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35680-2023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46280</v>
      </c>
      <c r="F372" t="inlineStr">
        <is>
          <t>SKÅNE LÄN</t>
        </is>
      </c>
      <c r="G372" t="inlineStr">
        <is>
          <t>ÖSTRA GÖINGE</t>
        </is>
      </c>
      <c r="I372" t="n">
        <v>15.4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45330</v>
      </c>
      <c r="E373" s="1" t="n">
        <v>46280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71747-2021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46280</v>
      </c>
      <c r="F374" t="inlineStr">
        <is>
          <t>SKÅNE LÄN</t>
        </is>
      </c>
      <c r="G374" t="inlineStr">
        <is>
          <t>ÖSTRA GÖINGE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8367-2023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46280</v>
      </c>
      <c r="F375" t="inlineStr">
        <is>
          <t>SKÅNE LÄN</t>
        </is>
      </c>
      <c r="G375" t="inlineStr">
        <is>
          <t>ÖSTRA GÖINGE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45567</v>
      </c>
      <c r="E376" s="1" t="n">
        <v>46280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46280</v>
      </c>
      <c r="F377" t="inlineStr">
        <is>
          <t>SKÅNE LÄN</t>
        </is>
      </c>
      <c r="G377" t="inlineStr">
        <is>
          <t>ÖSTRA GÖINGE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63167-2023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45273</v>
      </c>
      <c r="E378" s="1" t="n">
        <v>46280</v>
      </c>
      <c r="F378" t="inlineStr">
        <is>
          <t>SKÅNE LÄN</t>
        </is>
      </c>
      <c r="G378" t="inlineStr">
        <is>
          <t>ÖSTRA GÖINGE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45331</v>
      </c>
      <c r="E379" s="1" t="n">
        <v>46280</v>
      </c>
      <c r="F379" t="inlineStr">
        <is>
          <t>SKÅNE LÄN</t>
        </is>
      </c>
      <c r="G379" t="inlineStr">
        <is>
          <t>ÖSTRA GÖINGE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35171-2024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45530</v>
      </c>
      <c r="E380" s="1" t="n">
        <v>46280</v>
      </c>
      <c r="F380" t="inlineStr">
        <is>
          <t>SKÅNE LÄN</t>
        </is>
      </c>
      <c r="G380" t="inlineStr">
        <is>
          <t>ÖSTRA GÖINGE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45090</v>
      </c>
      <c r="E381" s="1" t="n">
        <v>46280</v>
      </c>
      <c r="F381" t="inlineStr">
        <is>
          <t>SKÅNE LÄN</t>
        </is>
      </c>
      <c r="G381" t="inlineStr">
        <is>
          <t>ÖSTRA GÖINGE</t>
        </is>
      </c>
      <c r="I381" t="n">
        <v>12.8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46280</v>
      </c>
      <c r="F382" t="inlineStr">
        <is>
          <t>SKÅNE LÄN</t>
        </is>
      </c>
      <c r="G382" t="inlineStr">
        <is>
          <t>ÖSTRA GÖINGE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45266</v>
      </c>
      <c r="E383" s="1" t="n">
        <v>46280</v>
      </c>
      <c r="F383" t="inlineStr">
        <is>
          <t>SKÅNE LÄN</t>
        </is>
      </c>
      <c r="G383" t="inlineStr">
        <is>
          <t>ÖSTRA GÖINGE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46280</v>
      </c>
      <c r="F384" t="inlineStr">
        <is>
          <t>SKÅNE LÄN</t>
        </is>
      </c>
      <c r="G384" t="inlineStr">
        <is>
          <t>ÖSTRA GÖINGE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44859</v>
      </c>
      <c r="E385" s="1" t="n">
        <v>46280</v>
      </c>
      <c r="F385" t="inlineStr">
        <is>
          <t>SKÅNE LÄN</t>
        </is>
      </c>
      <c r="G385" t="inlineStr">
        <is>
          <t>ÖSTRA GÖINGE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44958</v>
      </c>
      <c r="E386" s="1" t="n">
        <v>46280</v>
      </c>
      <c r="F386" t="inlineStr">
        <is>
          <t>SKÅNE LÄN</t>
        </is>
      </c>
      <c r="G386" t="inlineStr">
        <is>
          <t>ÖSTRA GÖINGE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44840</v>
      </c>
      <c r="E387" s="1" t="n">
        <v>46280</v>
      </c>
      <c r="F387" t="inlineStr">
        <is>
          <t>SKÅNE LÄN</t>
        </is>
      </c>
      <c r="G387" t="inlineStr">
        <is>
          <t>ÖSTRA GÖINGE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50896-2021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44460</v>
      </c>
      <c r="E388" s="1" t="n">
        <v>46280</v>
      </c>
      <c r="F388" t="inlineStr">
        <is>
          <t>SKÅNE LÄN</t>
        </is>
      </c>
      <c r="G388" t="inlineStr">
        <is>
          <t>ÖSTRA GÖINGE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44459</v>
      </c>
      <c r="E389" s="1" t="n">
        <v>46280</v>
      </c>
      <c r="F389" t="inlineStr">
        <is>
          <t>SKÅNE LÄN</t>
        </is>
      </c>
      <c r="G389" t="inlineStr">
        <is>
          <t>ÖSTRA GÖINGE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46280</v>
      </c>
      <c r="F390" t="inlineStr">
        <is>
          <t>SKÅNE LÄN</t>
        </is>
      </c>
      <c r="G390" t="inlineStr">
        <is>
          <t>ÖSTRA GÖINGE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45538</v>
      </c>
      <c r="E391" s="1" t="n">
        <v>46280</v>
      </c>
      <c r="F391" t="inlineStr">
        <is>
          <t>SKÅNE LÄN</t>
        </is>
      </c>
      <c r="G391" t="inlineStr">
        <is>
          <t>ÖSTRA GÖINGE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46280</v>
      </c>
      <c r="F392" t="inlineStr">
        <is>
          <t>SKÅNE LÄN</t>
        </is>
      </c>
      <c r="G392" t="inlineStr">
        <is>
          <t>ÖSTRA GÖINGE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46280</v>
      </c>
      <c r="F393" t="inlineStr">
        <is>
          <t>SKÅNE LÄN</t>
        </is>
      </c>
      <c r="G393" t="inlineStr">
        <is>
          <t>ÖSTRA GÖINGE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69387-2021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44531</v>
      </c>
      <c r="E394" s="1" t="n">
        <v>46280</v>
      </c>
      <c r="F394" t="inlineStr">
        <is>
          <t>SKÅNE LÄN</t>
        </is>
      </c>
      <c r="G394" t="inlineStr">
        <is>
          <t>ÖSTRA GÖINGE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45362</v>
      </c>
      <c r="E395" s="1" t="n">
        <v>46280</v>
      </c>
      <c r="F395" t="inlineStr">
        <is>
          <t>SKÅNE LÄN</t>
        </is>
      </c>
      <c r="G395" t="inlineStr">
        <is>
          <t>ÖSTRA GÖINGE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44930</v>
      </c>
      <c r="E396" s="1" t="n">
        <v>46280</v>
      </c>
      <c r="F396" t="inlineStr">
        <is>
          <t>SKÅNE LÄN</t>
        </is>
      </c>
      <c r="G396" t="inlineStr">
        <is>
          <t>ÖSTRA GÖINGE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43447-2024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45568</v>
      </c>
      <c r="E397" s="1" t="n">
        <v>46280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46280</v>
      </c>
      <c r="F398" t="inlineStr">
        <is>
          <t>SKÅNE LÄN</t>
        </is>
      </c>
      <c r="G398" t="inlineStr">
        <is>
          <t>ÖSTRA GÖINGE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57521-2022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44896</v>
      </c>
      <c r="E399" s="1" t="n">
        <v>46280</v>
      </c>
      <c r="F399" t="inlineStr">
        <is>
          <t>SKÅNE LÄN</t>
        </is>
      </c>
      <c r="G399" t="inlineStr">
        <is>
          <t>ÖSTRA GÖINGE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44623</v>
      </c>
      <c r="E400" s="1" t="n">
        <v>46280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45727</v>
      </c>
      <c r="E401" s="1" t="n">
        <v>46280</v>
      </c>
      <c r="F401" t="inlineStr">
        <is>
          <t>SKÅNE LÄN</t>
        </is>
      </c>
      <c r="G401" t="inlineStr">
        <is>
          <t>ÖSTRA GÖINGE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45205</v>
      </c>
      <c r="E402" s="1" t="n">
        <v>46280</v>
      </c>
      <c r="F402" t="inlineStr">
        <is>
          <t>SKÅNE LÄN</t>
        </is>
      </c>
      <c r="G402" t="inlineStr">
        <is>
          <t>ÖSTRA GÖINGE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45489</v>
      </c>
      <c r="E403" s="1" t="n">
        <v>46280</v>
      </c>
      <c r="F403" t="inlineStr">
        <is>
          <t>SKÅNE LÄN</t>
        </is>
      </c>
      <c r="G403" t="inlineStr">
        <is>
          <t>ÖSTRA GÖINGE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45105</v>
      </c>
      <c r="E404" s="1" t="n">
        <v>46280</v>
      </c>
      <c r="F404" t="inlineStr">
        <is>
          <t>SKÅNE LÄN</t>
        </is>
      </c>
      <c r="G404" t="inlineStr">
        <is>
          <t>ÖSTRA GÖINGE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46280</v>
      </c>
      <c r="F405" t="inlineStr">
        <is>
          <t>SKÅNE LÄN</t>
        </is>
      </c>
      <c r="G405" t="inlineStr">
        <is>
          <t>ÖSTRA GÖINGE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27322-2022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44742</v>
      </c>
      <c r="E406" s="1" t="n">
        <v>46280</v>
      </c>
      <c r="F406" t="inlineStr">
        <is>
          <t>SKÅNE LÄN</t>
        </is>
      </c>
      <c r="G406" t="inlineStr">
        <is>
          <t>ÖSTRA GÖINGE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47592-2023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45203</v>
      </c>
      <c r="E407" s="1" t="n">
        <v>46280</v>
      </c>
      <c r="F407" t="inlineStr">
        <is>
          <t>SKÅNE LÄN</t>
        </is>
      </c>
      <c r="G407" t="inlineStr">
        <is>
          <t>ÖSTRA GÖINGE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55489-2022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44887</v>
      </c>
      <c r="E408" s="1" t="n">
        <v>46280</v>
      </c>
      <c r="F408" t="inlineStr">
        <is>
          <t>SKÅNE LÄN</t>
        </is>
      </c>
      <c r="G408" t="inlineStr">
        <is>
          <t>ÖSTRA GÖINGE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46280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46280</v>
      </c>
      <c r="F410" t="inlineStr">
        <is>
          <t>SKÅNE LÄN</t>
        </is>
      </c>
      <c r="G410" t="inlineStr">
        <is>
          <t>ÖSTRA GÖINGE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46280</v>
      </c>
      <c r="F411" t="inlineStr">
        <is>
          <t>SKÅNE LÄN</t>
        </is>
      </c>
      <c r="G411" t="inlineStr">
        <is>
          <t>ÖSTRA GÖINGE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45541</v>
      </c>
      <c r="E412" s="1" t="n">
        <v>46280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50370-2024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45601</v>
      </c>
      <c r="E413" s="1" t="n">
        <v>46280</v>
      </c>
      <c r="F413" t="inlineStr">
        <is>
          <t>SKÅNE LÄN</t>
        </is>
      </c>
      <c r="G413" t="inlineStr">
        <is>
          <t>ÖSTRA GÖINGE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52930-2021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44467</v>
      </c>
      <c r="E414" s="1" t="n">
        <v>46280</v>
      </c>
      <c r="F414" t="inlineStr">
        <is>
          <t>SKÅNE LÄN</t>
        </is>
      </c>
      <c r="G414" t="inlineStr">
        <is>
          <t>ÖSTRA GÖINGE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55716-2024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45622</v>
      </c>
      <c r="E415" s="1" t="n">
        <v>46280</v>
      </c>
      <c r="F415" t="inlineStr">
        <is>
          <t>SKÅNE LÄN</t>
        </is>
      </c>
      <c r="G415" t="inlineStr">
        <is>
          <t>ÖSTRA GÖINGE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46280</v>
      </c>
      <c r="F416" t="inlineStr">
        <is>
          <t>SKÅNE LÄN</t>
        </is>
      </c>
      <c r="G416" t="inlineStr">
        <is>
          <t>ÖSTRA GÖINGE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44958</v>
      </c>
      <c r="E417" s="1" t="n">
        <v>46280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44842-2024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46280</v>
      </c>
      <c r="F418" t="inlineStr">
        <is>
          <t>SKÅNE LÄN</t>
        </is>
      </c>
      <c r="G418" t="inlineStr">
        <is>
          <t>ÖSTRA GÖINGE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45076</v>
      </c>
      <c r="E419" s="1" t="n">
        <v>46280</v>
      </c>
      <c r="F419" t="inlineStr">
        <is>
          <t>SKÅNE LÄN</t>
        </is>
      </c>
      <c r="G419" t="inlineStr">
        <is>
          <t>ÖSTRA GÖINGE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23403-2023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45076</v>
      </c>
      <c r="E420" s="1" t="n">
        <v>46280</v>
      </c>
      <c r="F420" t="inlineStr">
        <is>
          <t>SKÅNE LÄN</t>
        </is>
      </c>
      <c r="G420" t="inlineStr">
        <is>
          <t>ÖSTRA GÖINGE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44796</v>
      </c>
      <c r="E421" s="1" t="n">
        <v>46280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46280</v>
      </c>
      <c r="F422" t="inlineStr">
        <is>
          <t>SKÅNE LÄN</t>
        </is>
      </c>
      <c r="G422" t="inlineStr">
        <is>
          <t>ÖSTRA GÖINGE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45078</v>
      </c>
      <c r="E423" s="1" t="n">
        <v>46280</v>
      </c>
      <c r="F423" t="inlineStr">
        <is>
          <t>SKÅNE LÄN</t>
        </is>
      </c>
      <c r="G423" t="inlineStr">
        <is>
          <t>ÖSTRA GÖINGE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49228-2023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45210</v>
      </c>
      <c r="E424" s="1" t="n">
        <v>46280</v>
      </c>
      <c r="F424" t="inlineStr">
        <is>
          <t>SKÅNE LÄN</t>
        </is>
      </c>
      <c r="G424" t="inlineStr">
        <is>
          <t>ÖSTRA GÖINGE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45774</v>
      </c>
      <c r="E425" s="1" t="n">
        <v>46280</v>
      </c>
      <c r="F425" t="inlineStr">
        <is>
          <t>SKÅNE LÄN</t>
        </is>
      </c>
      <c r="G425" t="inlineStr">
        <is>
          <t>ÖSTRA GÖINGE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36963-2024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45538</v>
      </c>
      <c r="E426" s="1" t="n">
        <v>46280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46280</v>
      </c>
      <c r="F427" t="inlineStr">
        <is>
          <t>SKÅNE LÄN</t>
        </is>
      </c>
      <c r="G427" t="inlineStr">
        <is>
          <t>ÖSTRA GÖINGE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46280</v>
      </c>
      <c r="F428" t="inlineStr">
        <is>
          <t>SKÅNE LÄN</t>
        </is>
      </c>
      <c r="G428" t="inlineStr">
        <is>
          <t>ÖSTRA GÖINGE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45541</v>
      </c>
      <c r="E429" s="1" t="n">
        <v>46280</v>
      </c>
      <c r="F429" t="inlineStr">
        <is>
          <t>SKÅNE LÄN</t>
        </is>
      </c>
      <c r="G429" t="inlineStr">
        <is>
          <t>ÖSTRA GÖINGE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44953</v>
      </c>
      <c r="E430" s="1" t="n">
        <v>46280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45138</v>
      </c>
      <c r="E431" s="1" t="n">
        <v>46280</v>
      </c>
      <c r="F431" t="inlineStr">
        <is>
          <t>SKÅNE LÄN</t>
        </is>
      </c>
      <c r="G431" t="inlineStr">
        <is>
          <t>ÖSTRA GÖINGE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46280</v>
      </c>
      <c r="F432" t="inlineStr">
        <is>
          <t>SKÅNE LÄN</t>
        </is>
      </c>
      <c r="G432" t="inlineStr">
        <is>
          <t>ÖSTRA GÖINGE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45765</v>
      </c>
      <c r="E433" s="1" t="n">
        <v>46280</v>
      </c>
      <c r="F433" t="inlineStr">
        <is>
          <t>SKÅNE LÄN</t>
        </is>
      </c>
      <c r="G433" t="inlineStr">
        <is>
          <t>ÖSTRA GÖINGE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46280</v>
      </c>
      <c r="F434" t="inlineStr">
        <is>
          <t>SKÅNE LÄN</t>
        </is>
      </c>
      <c r="G434" t="inlineStr">
        <is>
          <t>ÖSTRA GÖINGE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45541</v>
      </c>
      <c r="E435" s="1" t="n">
        <v>46280</v>
      </c>
      <c r="F435" t="inlineStr">
        <is>
          <t>SKÅNE LÄN</t>
        </is>
      </c>
      <c r="G435" t="inlineStr">
        <is>
          <t>ÖSTRA GÖINGE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46280</v>
      </c>
      <c r="F436" t="inlineStr">
        <is>
          <t>SKÅNE LÄN</t>
        </is>
      </c>
      <c r="G436" t="inlineStr">
        <is>
          <t>ÖSTRA GÖINGE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46280</v>
      </c>
      <c r="F437" t="inlineStr">
        <is>
          <t>SKÅNE LÄN</t>
        </is>
      </c>
      <c r="G437" t="inlineStr">
        <is>
          <t>ÖSTRA GÖINGE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45321</v>
      </c>
      <c r="E438" s="1" t="n">
        <v>46280</v>
      </c>
      <c r="F438" t="inlineStr">
        <is>
          <t>SKÅNE LÄN</t>
        </is>
      </c>
      <c r="G438" t="inlineStr">
        <is>
          <t>ÖSTRA GÖINGE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35676-2023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45147</v>
      </c>
      <c r="E439" s="1" t="n">
        <v>46280</v>
      </c>
      <c r="F439" t="inlineStr">
        <is>
          <t>SKÅNE LÄN</t>
        </is>
      </c>
      <c r="G439" t="inlineStr">
        <is>
          <t>ÖSTRA GÖINGE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37784-2022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44810</v>
      </c>
      <c r="E440" s="1" t="n">
        <v>46280</v>
      </c>
      <c r="F440" t="inlineStr">
        <is>
          <t>SKÅNE LÄN</t>
        </is>
      </c>
      <c r="G440" t="inlineStr">
        <is>
          <t>ÖSTRA GÖINGE</t>
        </is>
      </c>
      <c r="H440" t="inlineStr">
        <is>
          <t>Kyrkan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44946</v>
      </c>
      <c r="E441" s="1" t="n">
        <v>46280</v>
      </c>
      <c r="F441" t="inlineStr">
        <is>
          <t>SKÅNE LÄN</t>
        </is>
      </c>
      <c r="G441" t="inlineStr">
        <is>
          <t>ÖSTRA GÖINGE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5096-2022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46280</v>
      </c>
      <c r="F442" t="inlineStr">
        <is>
          <t>SKÅNE LÄN</t>
        </is>
      </c>
      <c r="G442" t="inlineStr">
        <is>
          <t>ÖSTRA GÖINGE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46280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44992</v>
      </c>
      <c r="E444" s="1" t="n">
        <v>46280</v>
      </c>
      <c r="F444" t="inlineStr">
        <is>
          <t>SKÅNE LÄN</t>
        </is>
      </c>
      <c r="G444" t="inlineStr">
        <is>
          <t>ÖSTRA GÖINGE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45203</v>
      </c>
      <c r="E445" s="1" t="n">
        <v>46280</v>
      </c>
      <c r="F445" t="inlineStr">
        <is>
          <t>SKÅNE LÄN</t>
        </is>
      </c>
      <c r="G445" t="inlineStr">
        <is>
          <t>ÖSTRA GÖINGE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45310</v>
      </c>
      <c r="E446" s="1" t="n">
        <v>46280</v>
      </c>
      <c r="F446" t="inlineStr">
        <is>
          <t>SKÅNE LÄN</t>
        </is>
      </c>
      <c r="G446" t="inlineStr">
        <is>
          <t>ÖSTRA GÖINGE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32514-2023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45121</v>
      </c>
      <c r="E447" s="1" t="n">
        <v>46280</v>
      </c>
      <c r="F447" t="inlineStr">
        <is>
          <t>SKÅNE LÄN</t>
        </is>
      </c>
      <c r="G447" t="inlineStr">
        <is>
          <t>ÖSTRA GÖINGE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44489</v>
      </c>
      <c r="E448" s="1" t="n">
        <v>46280</v>
      </c>
      <c r="F448" t="inlineStr">
        <is>
          <t>SKÅNE LÄN</t>
        </is>
      </c>
      <c r="G448" t="inlineStr">
        <is>
          <t>ÖSTRA GÖINGE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45706</v>
      </c>
      <c r="E449" s="1" t="n">
        <v>46280</v>
      </c>
      <c r="F449" t="inlineStr">
        <is>
          <t>SKÅNE LÄN</t>
        </is>
      </c>
      <c r="G449" t="inlineStr">
        <is>
          <t>ÖSTRA GÖINGE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45564</v>
      </c>
      <c r="E450" s="1" t="n">
        <v>46280</v>
      </c>
      <c r="F450" t="inlineStr">
        <is>
          <t>SKÅNE LÄN</t>
        </is>
      </c>
      <c r="G450" t="inlineStr">
        <is>
          <t>ÖSTRA GÖINGE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45022</v>
      </c>
      <c r="E451" s="1" t="n">
        <v>46280</v>
      </c>
      <c r="F451" t="inlineStr">
        <is>
          <t>SKÅNE LÄN</t>
        </is>
      </c>
      <c r="G451" t="inlineStr">
        <is>
          <t>ÖSTRA GÖINGE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45699</v>
      </c>
      <c r="E452" s="1" t="n">
        <v>46280</v>
      </c>
      <c r="F452" t="inlineStr">
        <is>
          <t>SKÅNE LÄN</t>
        </is>
      </c>
      <c r="G452" t="inlineStr">
        <is>
          <t>ÖSTRA GÖINGE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45686</v>
      </c>
      <c r="E453" s="1" t="n">
        <v>46280</v>
      </c>
      <c r="F453" t="inlineStr">
        <is>
          <t>SKÅNE LÄN</t>
        </is>
      </c>
      <c r="G453" t="inlineStr">
        <is>
          <t>ÖSTRA GÖINGE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46280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46280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2639-2022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44700</v>
      </c>
      <c r="E456" s="1" t="n">
        <v>46280</v>
      </c>
      <c r="F456" t="inlineStr">
        <is>
          <t>SKÅNE LÄN</t>
        </is>
      </c>
      <c r="G456" t="inlineStr">
        <is>
          <t>ÖSTRA GÖINGE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46280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1043-2022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44613</v>
      </c>
      <c r="E458" s="1" t="n">
        <v>46280</v>
      </c>
      <c r="F458" t="inlineStr">
        <is>
          <t>SKÅNE LÄN</t>
        </is>
      </c>
      <c r="G458" t="inlineStr">
        <is>
          <t>ÖSTRA GÖINGE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46280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46280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46280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46280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46280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2600-2022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46280</v>
      </c>
      <c r="F464" t="inlineStr">
        <is>
          <t>SKÅNE LÄN</t>
        </is>
      </c>
      <c r="G464" t="inlineStr">
        <is>
          <t>ÖSTRA GÖINGE</t>
        </is>
      </c>
      <c r="I464" t="n">
        <v>12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46280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46280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46280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2602-2022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46280</v>
      </c>
      <c r="F468" t="inlineStr">
        <is>
          <t>SKÅNE LÄN</t>
        </is>
      </c>
      <c r="G468" t="inlineStr">
        <is>
          <t>ÖSTRA GÖINGE</t>
        </is>
      </c>
      <c r="I468" t="n">
        <v>18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5662-2022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44841</v>
      </c>
      <c r="E469" s="1" t="n">
        <v>46280</v>
      </c>
      <c r="F469" t="inlineStr">
        <is>
          <t>SKÅNE LÄN</t>
        </is>
      </c>
      <c r="G469" t="inlineStr">
        <is>
          <t>ÖSTRA GÖINGE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3566-2023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45202</v>
      </c>
      <c r="E470" s="1" t="n">
        <v>46280</v>
      </c>
      <c r="F470" t="inlineStr">
        <is>
          <t>SKÅNE LÄN</t>
        </is>
      </c>
      <c r="G470" t="inlineStr">
        <is>
          <t>ÖSTRA GÖINGE</t>
        </is>
      </c>
      <c r="I470" t="n">
        <v>24.5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5137-2024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45645</v>
      </c>
      <c r="E471" s="1" t="n">
        <v>46280</v>
      </c>
      <c r="F471" t="inlineStr">
        <is>
          <t>SKÅNE LÄN</t>
        </is>
      </c>
      <c r="G471" t="inlineStr">
        <is>
          <t>ÖSTRA GÖINGE</t>
        </is>
      </c>
      <c r="I471" t="n">
        <v>48.8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2143-2022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44676</v>
      </c>
      <c r="E472" s="1" t="n">
        <v>46280</v>
      </c>
      <c r="F472" t="inlineStr">
        <is>
          <t>SKÅNE LÄN</t>
        </is>
      </c>
      <c r="G472" t="inlineStr">
        <is>
          <t>ÖSTRA GÖINGE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444-2022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46280</v>
      </c>
      <c r="F473" t="inlineStr">
        <is>
          <t>SKÅNE LÄN</t>
        </is>
      </c>
      <c r="G473" t="inlineStr">
        <is>
          <t>ÖSTRA GÖINGE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5026-2024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45635</v>
      </c>
      <c r="E474" s="1" t="n">
        <v>46280</v>
      </c>
      <c r="F474" t="inlineStr">
        <is>
          <t>SKÅNE LÄN</t>
        </is>
      </c>
      <c r="G474" t="inlineStr">
        <is>
          <t>ÖSTRA GÖINGE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3730-2022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44742</v>
      </c>
      <c r="E475" s="1" t="n">
        <v>46280</v>
      </c>
      <c r="F475" t="inlineStr">
        <is>
          <t>SKÅNE LÄN</t>
        </is>
      </c>
      <c r="G475" t="inlineStr">
        <is>
          <t>ÖSTRA GÖINGE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3484-2023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45205</v>
      </c>
      <c r="E476" s="1" t="n">
        <v>46280</v>
      </c>
      <c r="F476" t="inlineStr">
        <is>
          <t>SKÅNE LÄN</t>
        </is>
      </c>
      <c r="G476" t="inlineStr">
        <is>
          <t>ÖSTRA GÖINGE</t>
        </is>
      </c>
      <c r="I476" t="n">
        <v>15.7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450-2022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44586</v>
      </c>
      <c r="E477" s="1" t="n">
        <v>46280</v>
      </c>
      <c r="F477" t="inlineStr">
        <is>
          <t>SKÅNE LÄN</t>
        </is>
      </c>
      <c r="G477" t="inlineStr">
        <is>
          <t>ÖSTRA GÖINGE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46280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46280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46280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46280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46280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46280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46280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46280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46280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46280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46280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46280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46280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46280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46280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46280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46280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2026-09-15T08:14:16Z</dcterms:created>
  <dcterms:modified xmlns:dcterms="http://purl.org/dc/terms/" xmlns:xsi="http://www.w3.org/2001/XMLSchema-instance" xsi:type="dcterms:W3CDTF">2026-09-15T08:14:16Z</dcterms:modified>
</cp:coreProperties>
</file>