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46230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46230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46230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46230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46230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46230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46230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46230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63634-2023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45275</v>
      </c>
      <c r="E10" s="1" t="n">
        <v>46230</v>
      </c>
      <c r="F10" t="inlineStr">
        <is>
          <t>SKÅNE LÄN</t>
        </is>
      </c>
      <c r="G10" t="inlineStr">
        <is>
          <t>ÖSTRA GÖINGE</t>
        </is>
      </c>
      <c r="I10" t="n">
        <v>5.4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Skogsduva
Svartvit flugsnappare
Ärtsångare</t>
        </is>
      </c>
      <c r="W10">
        <f>HYPERLINK("https://klasma.github.io/Logging_1256/artfynd/A 63634-2023 artfynd.xlsx", "A 63634-2023")</f>
        <v/>
      </c>
      <c r="X10">
        <f>HYPERLINK("https://klasma.github.io/Logging_1256/kartor/A 63634-2023 karta.png", "A 63634-2023")</f>
        <v/>
      </c>
      <c r="Y10">
        <f>HYPERLINK("https://klasma.github.io/Logging_1256/kartor_geotiff/A 63634-2023 georefererad karta.tif", "A 63634-2023")</f>
        <v/>
      </c>
      <c r="AA10">
        <f>HYPERLINK("https://klasma.github.io/Logging_1256/klagomål/A 63634-2023 FSC-klagomål.docx", "A 63634-2023")</f>
        <v/>
      </c>
      <c r="AB10">
        <f>HYPERLINK("https://klasma.github.io/Logging_1256/klagomålsmail/A 63634-2023 FSC-klagomål mail.docx", "A 63634-2023")</f>
        <v/>
      </c>
      <c r="AC10">
        <f>HYPERLINK("https://klasma.github.io/Logging_1256/tillsyn/A 63634-2023 tillsynsbegäran.docx", "A 63634-2023")</f>
        <v/>
      </c>
      <c r="AD10">
        <f>HYPERLINK("https://klasma.github.io/Logging_1256/tillsynsmail/A 63634-2023 tillsynsbegäran mail.docx", "A 63634-2023")</f>
        <v/>
      </c>
    </row>
    <row r="11" ht="15" customHeight="1">
      <c r="A11" t="inlineStr">
        <is>
          <t>A 22740-2026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46157</v>
      </c>
      <c r="E11" s="1" t="n">
        <v>46230</v>
      </c>
      <c r="F11" t="inlineStr">
        <is>
          <t>SKÅNE LÄN</t>
        </is>
      </c>
      <c r="G11" t="inlineStr">
        <is>
          <t>ÖSTRA GÖINGE</t>
        </is>
      </c>
      <c r="I11" t="n">
        <v>0.5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Havstulpanlav
Rostfläck
Glansfläck</t>
        </is>
      </c>
      <c r="W11">
        <f>HYPERLINK("https://klasma.github.io/Logging_1256/artfynd/A 22740-2026 artfynd.xlsx", "A 22740-2026")</f>
        <v/>
      </c>
      <c r="X11">
        <f>HYPERLINK("https://klasma.github.io/Logging_1256/kartor/A 22740-2026 karta.png", "A 22740-2026")</f>
        <v/>
      </c>
      <c r="Y11">
        <f>HYPERLINK("https://klasma.github.io/Logging_1256/kartor_geotiff/A 22740-2026 georefererad karta.tif", "A 22740-2026")</f>
        <v/>
      </c>
      <c r="AA11">
        <f>HYPERLINK("https://klasma.github.io/Logging_1256/klagomål/A 22740-2026 FSC-klagomål.docx", "A 22740-2026")</f>
        <v/>
      </c>
      <c r="AB11">
        <f>HYPERLINK("https://klasma.github.io/Logging_1256/klagomålsmail/A 22740-2026 FSC-klagomål mail.docx", "A 22740-2026")</f>
        <v/>
      </c>
      <c r="AC11">
        <f>HYPERLINK("https://klasma.github.io/Logging_1256/tillsyn/A 22740-2026 tillsynsbegäran.docx", "A 22740-2026")</f>
        <v/>
      </c>
      <c r="AD11">
        <f>HYPERLINK("https://klasma.github.io/Logging_1256/tillsynsmail/A 22740-2026 tillsynsbegäran mail.docx", "A 22740-2026")</f>
        <v/>
      </c>
    </row>
    <row r="12" ht="15" customHeight="1">
      <c r="A12" t="inlineStr">
        <is>
          <t>A 62140-2023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45267</v>
      </c>
      <c r="E12" s="1" t="n">
        <v>46230</v>
      </c>
      <c r="F12" t="inlineStr">
        <is>
          <t>SKÅNE LÄN</t>
        </is>
      </c>
      <c r="G12" t="inlineStr">
        <is>
          <t>ÖSTRA GÖINGE</t>
        </is>
      </c>
      <c r="I12" t="n">
        <v>1.5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Krusfrö
Rödlånke
Grönvit nattviol</t>
        </is>
      </c>
      <c r="W12">
        <f>HYPERLINK("https://klasma.github.io/Logging_1256/artfynd/A 62140-2023 artfynd.xlsx", "A 62140-2023")</f>
        <v/>
      </c>
      <c r="X12">
        <f>HYPERLINK("https://klasma.github.io/Logging_1256/kartor/A 62140-2023 karta.png", "A 62140-2023")</f>
        <v/>
      </c>
      <c r="Y12">
        <f>HYPERLINK("https://klasma.github.io/Logging_1256/kartor_geotiff/A 62140-2023 georefererad karta.tif", "A 62140-2023")</f>
        <v/>
      </c>
      <c r="AA12">
        <f>HYPERLINK("https://klasma.github.io/Logging_1256/klagomål/A 62140-2023 FSC-klagomål.docx", "A 62140-2023")</f>
        <v/>
      </c>
      <c r="AB12">
        <f>HYPERLINK("https://klasma.github.io/Logging_1256/klagomålsmail/A 62140-2023 FSC-klagomål mail.docx", "A 62140-2023")</f>
        <v/>
      </c>
      <c r="AC12">
        <f>HYPERLINK("https://klasma.github.io/Logging_1256/tillsyn/A 62140-2023 tillsynsbegäran.docx", "A 62140-2023")</f>
        <v/>
      </c>
      <c r="AD12">
        <f>HYPERLINK("https://klasma.github.io/Logging_1256/tillsynsmail/A 62140-2023 tillsynsbegäran mail.docx", "A 62140-2023")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46230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46230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46230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46230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46230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46230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46230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30306-2025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46230</v>
      </c>
      <c r="F20" t="inlineStr">
        <is>
          <t>SKÅNE LÄN</t>
        </is>
      </c>
      <c r="G20" t="inlineStr">
        <is>
          <t>ÖSTRA GÖINGE</t>
        </is>
      </c>
      <c r="I20" t="n">
        <v>3.6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Dvärglin
Järnsparv</t>
        </is>
      </c>
      <c r="W20">
        <f>HYPERLINK("https://klasma.github.io/Logging_1256/artfynd/A 30306-2025 artfynd.xlsx", "A 30306-2025")</f>
        <v/>
      </c>
      <c r="X20">
        <f>HYPERLINK("https://klasma.github.io/Logging_1256/kartor/A 30306-2025 karta.png", "A 30306-2025")</f>
        <v/>
      </c>
      <c r="Y20">
        <f>HYPERLINK("https://klasma.github.io/Logging_1256/kartor_geotiff/A 30306-2025 georefererad karta.tif", "A 30306-2025")</f>
        <v/>
      </c>
      <c r="AA20">
        <f>HYPERLINK("https://klasma.github.io/Logging_1256/klagomål/A 30306-2025 FSC-klagomål.docx", "A 30306-2025")</f>
        <v/>
      </c>
      <c r="AB20">
        <f>HYPERLINK("https://klasma.github.io/Logging_1256/klagomålsmail/A 30306-2025 FSC-klagomål mail.docx", "A 30306-2025")</f>
        <v/>
      </c>
      <c r="AC20">
        <f>HYPERLINK("https://klasma.github.io/Logging_1256/tillsyn/A 30306-2025 tillsynsbegäran.docx", "A 30306-2025")</f>
        <v/>
      </c>
      <c r="AD20">
        <f>HYPERLINK("https://klasma.github.io/Logging_1256/tillsynsmail/A 30306-2025 tillsynsbegäran mail.docx", "A 30306-2025")</f>
        <v/>
      </c>
      <c r="AE20">
        <f>HYPERLINK("https://klasma.github.io/Logging_1256/fåglar/A 30306-2025 prioriterade fågelarter.docx", "A 30306-2025")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46230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46230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46230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46205</v>
      </c>
      <c r="E24" s="1" t="n">
        <v>46230</v>
      </c>
      <c r="F24" t="inlineStr">
        <is>
          <t>SKÅNE LÄN</t>
        </is>
      </c>
      <c r="G24" t="inlineStr">
        <is>
          <t>ÖSTRA GÖINGE</t>
        </is>
      </c>
      <c r="I24" t="n">
        <v>5.5</v>
      </c>
      <c r="J24" t="n">
        <v>0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Skogsalm
Tibast</t>
        </is>
      </c>
      <c r="W24">
        <f>HYPERLINK("https://klasma.github.io/Logging_1256/artfynd/A 30000-2026 artfynd.xlsx", "A 30000-2026")</f>
        <v/>
      </c>
      <c r="X24">
        <f>HYPERLINK("https://klasma.github.io/Logging_1256/kartor/A 30000-2026 karta.png", "A 30000-2026")</f>
        <v/>
      </c>
      <c r="Y24">
        <f>HYPERLINK("https://klasma.github.io/Logging_1256/kartor_geotiff/A 30000-2026 georefererad karta.tif", "A 30000-2026")</f>
        <v/>
      </c>
      <c r="AA24">
        <f>HYPERLINK("https://klasma.github.io/Logging_1256/klagomål/A 30000-2026 FSC-klagomål.docx", "A 30000-2026")</f>
        <v/>
      </c>
      <c r="AB24">
        <f>HYPERLINK("https://klasma.github.io/Logging_1256/klagomålsmail/A 30000-2026 FSC-klagomål mail.docx", "A 30000-2026")</f>
        <v/>
      </c>
      <c r="AC24">
        <f>HYPERLINK("https://klasma.github.io/Logging_1256/tillsyn/A 30000-2026 tillsynsbegäran.docx", "A 30000-2026")</f>
        <v/>
      </c>
      <c r="AD24">
        <f>HYPERLINK("https://klasma.github.io/Logging_1256/tillsynsmail/A 30000-2026 tillsynsbegäran mail.docx", "A 30000-2026")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46230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23405-2023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46230</v>
      </c>
      <c r="F26" t="inlineStr">
        <is>
          <t>SKÅNE LÄN</t>
        </is>
      </c>
      <c r="G26" t="inlineStr">
        <is>
          <t>ÖSTRA GÖINGE</t>
        </is>
      </c>
      <c r="I26" t="n">
        <v>2.2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Vanlig groda
Vanlig padda</t>
        </is>
      </c>
      <c r="W26">
        <f>HYPERLINK("https://klasma.github.io/Logging_1256/artfynd/A 23405-2023 artfynd.xlsx", "A 23405-2023")</f>
        <v/>
      </c>
      <c r="X26">
        <f>HYPERLINK("https://klasma.github.io/Logging_1256/kartor/A 23405-2023 karta.png", "A 23405-2023")</f>
        <v/>
      </c>
      <c r="Y26">
        <f>HYPERLINK("https://klasma.github.io/Logging_1256/kartor_geotiff/A 23405-2023 georefererad karta.tif", "A 23405-2023")</f>
        <v/>
      </c>
      <c r="AA26">
        <f>HYPERLINK("https://klasma.github.io/Logging_1256/klagomål/A 23405-2023 FSC-klagomål.docx", "A 23405-2023")</f>
        <v/>
      </c>
      <c r="AB26">
        <f>HYPERLINK("https://klasma.github.io/Logging_1256/klagomålsmail/A 23405-2023 FSC-klagomål mail.docx", "A 23405-2023")</f>
        <v/>
      </c>
      <c r="AC26">
        <f>HYPERLINK("https://klasma.github.io/Logging_1256/tillsyn/A 23405-2023 tillsynsbegäran.docx", "A 23405-2023")</f>
        <v/>
      </c>
      <c r="AD26">
        <f>HYPERLINK("https://klasma.github.io/Logging_1256/tillsynsmail/A 23405-2023 tillsynsbegäran mail.docx", "A 23405-2023")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46230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46230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46230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46230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46230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46230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46230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46230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46230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46230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46230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46230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46230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46230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46230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46230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46230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46230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46230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46230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46230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46230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46230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23400-2023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45076</v>
      </c>
      <c r="E50" s="1" t="n">
        <v>46230</v>
      </c>
      <c r="F50" t="inlineStr">
        <is>
          <t>SKÅNE LÄN</t>
        </is>
      </c>
      <c r="G50" t="inlineStr">
        <is>
          <t>ÖSTRA GÖINGE</t>
        </is>
      </c>
      <c r="I50" t="n">
        <v>5.1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HYPERLINK("https://klasma.github.io/Logging_1256/artfynd/A 23400-2023 artfynd.xlsx", "A 23400-2023")</f>
        <v/>
      </c>
      <c r="X50">
        <f>HYPERLINK("https://klasma.github.io/Logging_1256/kartor/A 23400-2023 karta.png", "A 23400-2023")</f>
        <v/>
      </c>
      <c r="Y50">
        <f>HYPERLINK("https://klasma.github.io/Logging_1256/kartor_geotiff/A 23400-2023 georefererad karta.tif", "A 23400-2023")</f>
        <v/>
      </c>
      <c r="AA50">
        <f>HYPERLINK("https://klasma.github.io/Logging_1256/klagomål/A 23400-2023 FSC-klagomål.docx", "A 23400-2023")</f>
        <v/>
      </c>
      <c r="AB50">
        <f>HYPERLINK("https://klasma.github.io/Logging_1256/klagomålsmail/A 23400-2023 FSC-klagomål mail.docx", "A 23400-2023")</f>
        <v/>
      </c>
      <c r="AC50">
        <f>HYPERLINK("https://klasma.github.io/Logging_1256/tillsyn/A 23400-2023 tillsynsbegäran.docx", "A 23400-2023")</f>
        <v/>
      </c>
      <c r="AD50">
        <f>HYPERLINK("https://klasma.github.io/Logging_1256/tillsynsmail/A 23400-2023 tillsynsbegäran mail.docx", "A 23400-2023")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46230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46230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46230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46230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46230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46230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46230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46230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46230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46230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46230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46230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46230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46230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46230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46230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46230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46230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46230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46230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46230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46230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46230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46230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46230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46230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46230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46230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46230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46230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46230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46230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46230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46230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46230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46230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46230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46230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46230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46230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46230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46230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46230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46230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46230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46230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46230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46230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46230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46230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46230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46230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46230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46230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46230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54869-2023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46230</v>
      </c>
      <c r="F106" t="inlineStr">
        <is>
          <t>SKÅNE LÄN</t>
        </is>
      </c>
      <c r="G106" t="inlineStr">
        <is>
          <t>ÖSTRA GÖINGE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46230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46230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46230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41777-2023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45176</v>
      </c>
      <c r="E110" s="1" t="n">
        <v>46230</v>
      </c>
      <c r="F110" t="inlineStr">
        <is>
          <t>SKÅNE LÄN</t>
        </is>
      </c>
      <c r="G110" t="inlineStr">
        <is>
          <t>ÖSTRA GÖINGE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46230</v>
      </c>
      <c r="F111" t="inlineStr">
        <is>
          <t>SKÅNE LÄN</t>
        </is>
      </c>
      <c r="G111" t="inlineStr">
        <is>
          <t>ÖSTRA GÖINGE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46230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46230</v>
      </c>
      <c r="F113" t="inlineStr">
        <is>
          <t>SKÅNE LÄN</t>
        </is>
      </c>
      <c r="G113" t="inlineStr">
        <is>
          <t>ÖSTRA GÖINGE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45082</v>
      </c>
      <c r="E114" s="1" t="n">
        <v>46230</v>
      </c>
      <c r="F114" t="inlineStr">
        <is>
          <t>SKÅNE LÄN</t>
        </is>
      </c>
      <c r="G114" t="inlineStr">
        <is>
          <t>ÖSTRA GÖINGE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46230</v>
      </c>
      <c r="F115" t="inlineStr">
        <is>
          <t>SKÅNE LÄN</t>
        </is>
      </c>
      <c r="G115" t="inlineStr">
        <is>
          <t>ÖSTRA GÖINGE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69384-2021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44531</v>
      </c>
      <c r="E116" s="1" t="n">
        <v>46230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45307</v>
      </c>
      <c r="E117" s="1" t="n">
        <v>46230</v>
      </c>
      <c r="F117" t="inlineStr">
        <is>
          <t>SKÅNE LÄN</t>
        </is>
      </c>
      <c r="G117" t="inlineStr">
        <is>
          <t>ÖSTRA GÖINGE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46230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34931-2023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45142</v>
      </c>
      <c r="E119" s="1" t="n">
        <v>46230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24028-2022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44723</v>
      </c>
      <c r="E120" s="1" t="n">
        <v>46230</v>
      </c>
      <c r="F120" t="inlineStr">
        <is>
          <t>SKÅNE LÄN</t>
        </is>
      </c>
      <c r="G120" t="inlineStr">
        <is>
          <t>ÖSTRA GÖINGE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46230</v>
      </c>
      <c r="F121" t="inlineStr">
        <is>
          <t>SKÅNE LÄN</t>
        </is>
      </c>
      <c r="G121" t="inlineStr">
        <is>
          <t>ÖSTRA GÖINGE</t>
        </is>
      </c>
      <c r="I121" t="n">
        <v>10.4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45022</v>
      </c>
      <c r="E122" s="1" t="n">
        <v>46230</v>
      </c>
      <c r="F122" t="inlineStr">
        <is>
          <t>SKÅNE LÄN</t>
        </is>
      </c>
      <c r="G122" t="inlineStr">
        <is>
          <t>ÖSTRA GÖINGE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42399-2023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45180</v>
      </c>
      <c r="E123" s="1" t="n">
        <v>46230</v>
      </c>
      <c r="F123" t="inlineStr">
        <is>
          <t>SKÅNE LÄN</t>
        </is>
      </c>
      <c r="G123" t="inlineStr">
        <is>
          <t>ÖSTRA GÖINGE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46230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46230</v>
      </c>
      <c r="F125" t="inlineStr">
        <is>
          <t>SKÅNE LÄN</t>
        </is>
      </c>
      <c r="G125" t="inlineStr">
        <is>
          <t>ÖSTRA GÖINGE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46230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46230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45643</v>
      </c>
      <c r="E128" s="1" t="n">
        <v>46230</v>
      </c>
      <c r="F128" t="inlineStr">
        <is>
          <t>SKÅNE LÄN</t>
        </is>
      </c>
      <c r="G128" t="inlineStr">
        <is>
          <t>ÖSTRA GÖINGE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11451-2025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46230</v>
      </c>
      <c r="F129" t="inlineStr">
        <is>
          <t>SKÅNE LÄN</t>
        </is>
      </c>
      <c r="G129" t="inlineStr">
        <is>
          <t>ÖSTRA GÖINGE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45727</v>
      </c>
      <c r="E130" s="1" t="n">
        <v>46230</v>
      </c>
      <c r="F130" t="inlineStr">
        <is>
          <t>SKÅNE LÄN</t>
        </is>
      </c>
      <c r="G130" t="inlineStr">
        <is>
          <t>ÖSTRA GÖINGE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46230</v>
      </c>
      <c r="F131" t="inlineStr">
        <is>
          <t>SKÅNE LÄN</t>
        </is>
      </c>
      <c r="G131" t="inlineStr">
        <is>
          <t>ÖSTRA GÖINGE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45674</v>
      </c>
      <c r="E132" s="1" t="n">
        <v>46230</v>
      </c>
      <c r="F132" t="inlineStr">
        <is>
          <t>SKÅNE LÄN</t>
        </is>
      </c>
      <c r="G132" t="inlineStr">
        <is>
          <t>ÖSTRA GÖINGE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45267</v>
      </c>
      <c r="E133" s="1" t="n">
        <v>46230</v>
      </c>
      <c r="F133" t="inlineStr">
        <is>
          <t>SKÅNE LÄN</t>
        </is>
      </c>
      <c r="G133" t="inlineStr">
        <is>
          <t>ÖSTRA GÖINGE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44958</v>
      </c>
      <c r="E134" s="1" t="n">
        <v>46230</v>
      </c>
      <c r="F134" t="inlineStr">
        <is>
          <t>SKÅNE LÄN</t>
        </is>
      </c>
      <c r="G134" t="inlineStr">
        <is>
          <t>ÖSTRA GÖINGE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46230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44946</v>
      </c>
      <c r="E136" s="1" t="n">
        <v>46230</v>
      </c>
      <c r="F136" t="inlineStr">
        <is>
          <t>SKÅNE LÄN</t>
        </is>
      </c>
      <c r="G136" t="inlineStr">
        <is>
          <t>ÖSTRA GÖINGE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44897</v>
      </c>
      <c r="E137" s="1" t="n">
        <v>46230</v>
      </c>
      <c r="F137" t="inlineStr">
        <is>
          <t>SKÅNE LÄN</t>
        </is>
      </c>
      <c r="G137" t="inlineStr">
        <is>
          <t>ÖSTRA GÖINGE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46230</v>
      </c>
      <c r="F138" t="inlineStr">
        <is>
          <t>SKÅNE LÄN</t>
        </is>
      </c>
      <c r="G138" t="inlineStr">
        <is>
          <t>ÖSTRA GÖINGE</t>
        </is>
      </c>
      <c r="I138" t="n">
        <v>10.4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45541</v>
      </c>
      <c r="E139" s="1" t="n">
        <v>46230</v>
      </c>
      <c r="F139" t="inlineStr">
        <is>
          <t>SKÅNE LÄN</t>
        </is>
      </c>
      <c r="G139" t="inlineStr">
        <is>
          <t>ÖSTRA GÖINGE</t>
        </is>
      </c>
      <c r="I139" t="n">
        <v>8.699999999999999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45541</v>
      </c>
      <c r="E140" s="1" t="n">
        <v>46230</v>
      </c>
      <c r="F140" t="inlineStr">
        <is>
          <t>SKÅNE LÄN</t>
        </is>
      </c>
      <c r="G140" t="inlineStr">
        <is>
          <t>ÖSTRA GÖINGE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9538-2023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44981</v>
      </c>
      <c r="E141" s="1" t="n">
        <v>46230</v>
      </c>
      <c r="F141" t="inlineStr">
        <is>
          <t>SKÅNE LÄN</t>
        </is>
      </c>
      <c r="G141" t="inlineStr">
        <is>
          <t>ÖSTRA GÖINGE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46230</v>
      </c>
      <c r="F142" t="inlineStr">
        <is>
          <t>SKÅNE LÄN</t>
        </is>
      </c>
      <c r="G142" t="inlineStr">
        <is>
          <t>ÖSTRA GÖINGE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55140-2022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46230</v>
      </c>
      <c r="F143" t="inlineStr">
        <is>
          <t>SKÅNE LÄN</t>
        </is>
      </c>
      <c r="G143" t="inlineStr">
        <is>
          <t>ÖSTRA GÖINGE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27318-2022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44742</v>
      </c>
      <c r="E144" s="1" t="n">
        <v>46230</v>
      </c>
      <c r="F144" t="inlineStr">
        <is>
          <t>SKÅNE LÄN</t>
        </is>
      </c>
      <c r="G144" t="inlineStr">
        <is>
          <t>ÖSTRA GÖINGE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36324-2022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44803</v>
      </c>
      <c r="E145" s="1" t="n">
        <v>46230</v>
      </c>
      <c r="F145" t="inlineStr">
        <is>
          <t>SKÅNE LÄN</t>
        </is>
      </c>
      <c r="G145" t="inlineStr">
        <is>
          <t>ÖSTRA GÖINGE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44043-2023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45188</v>
      </c>
      <c r="E146" s="1" t="n">
        <v>46230</v>
      </c>
      <c r="F146" t="inlineStr">
        <is>
          <t>SKÅNE LÄN</t>
        </is>
      </c>
      <c r="G146" t="inlineStr">
        <is>
          <t>ÖSTRA GÖINGE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44915</v>
      </c>
      <c r="E147" s="1" t="n">
        <v>46230</v>
      </c>
      <c r="F147" t="inlineStr">
        <is>
          <t>SKÅNE LÄN</t>
        </is>
      </c>
      <c r="G147" t="inlineStr">
        <is>
          <t>ÖSTRA GÖINGE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45475</v>
      </c>
      <c r="E148" s="1" t="n">
        <v>46230</v>
      </c>
      <c r="F148" t="inlineStr">
        <is>
          <t>SKÅNE LÄN</t>
        </is>
      </c>
      <c r="G148" t="inlineStr">
        <is>
          <t>ÖSTRA GÖINGE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46230</v>
      </c>
      <c r="F149" t="inlineStr">
        <is>
          <t>SKÅNE LÄN</t>
        </is>
      </c>
      <c r="G149" t="inlineStr">
        <is>
          <t>ÖSTRA GÖINGE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45638</v>
      </c>
      <c r="E150" s="1" t="n">
        <v>46230</v>
      </c>
      <c r="F150" t="inlineStr">
        <is>
          <t>SKÅNE LÄN</t>
        </is>
      </c>
      <c r="G150" t="inlineStr">
        <is>
          <t>ÖSTRA GÖINGE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37056-2024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45539</v>
      </c>
      <c r="E151" s="1" t="n">
        <v>46230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45085</v>
      </c>
      <c r="E152" s="1" t="n">
        <v>46230</v>
      </c>
      <c r="F152" t="inlineStr">
        <is>
          <t>SKÅNE LÄN</t>
        </is>
      </c>
      <c r="G152" t="inlineStr">
        <is>
          <t>ÖSTRA GÖINGE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46230</v>
      </c>
      <c r="F153" t="inlineStr">
        <is>
          <t>SKÅNE LÄN</t>
        </is>
      </c>
      <c r="G153" t="inlineStr">
        <is>
          <t>ÖSTRA GÖINGE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45320</v>
      </c>
      <c r="E154" s="1" t="n">
        <v>46230</v>
      </c>
      <c r="F154" t="inlineStr">
        <is>
          <t>SKÅNE LÄN</t>
        </is>
      </c>
      <c r="G154" t="inlineStr">
        <is>
          <t>ÖSTRA GÖINGE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46230</v>
      </c>
      <c r="F155" t="inlineStr">
        <is>
          <t>SKÅNE LÄN</t>
        </is>
      </c>
      <c r="G155" t="inlineStr">
        <is>
          <t>ÖSTRA GÖINGE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15057-2023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45015</v>
      </c>
      <c r="E156" s="1" t="n">
        <v>46230</v>
      </c>
      <c r="F156" t="inlineStr">
        <is>
          <t>SKÅNE LÄN</t>
        </is>
      </c>
      <c r="G156" t="inlineStr">
        <is>
          <t>ÖSTRA GÖINGE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19149-2024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45428</v>
      </c>
      <c r="E157" s="1" t="n">
        <v>46230</v>
      </c>
      <c r="F157" t="inlineStr">
        <is>
          <t>SKÅNE LÄN</t>
        </is>
      </c>
      <c r="G157" t="inlineStr">
        <is>
          <t>ÖSTRA GÖINGE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46230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22095-2024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45443</v>
      </c>
      <c r="E159" s="1" t="n">
        <v>46230</v>
      </c>
      <c r="F159" t="inlineStr">
        <is>
          <t>SKÅNE LÄN</t>
        </is>
      </c>
      <c r="G159" t="inlineStr">
        <is>
          <t>ÖSTRA GÖINGE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50663-2024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45601</v>
      </c>
      <c r="E160" s="1" t="n">
        <v>46230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46230</v>
      </c>
      <c r="F161" t="inlineStr">
        <is>
          <t>SKÅNE LÄN</t>
        </is>
      </c>
      <c r="G161" t="inlineStr">
        <is>
          <t>ÖSTRA GÖINGE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45686</v>
      </c>
      <c r="E162" s="1" t="n">
        <v>46230</v>
      </c>
      <c r="F162" t="inlineStr">
        <is>
          <t>SKÅNE LÄN</t>
        </is>
      </c>
      <c r="G162" t="inlineStr">
        <is>
          <t>ÖSTRA GÖINGE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46230</v>
      </c>
      <c r="F163" t="inlineStr">
        <is>
          <t>SKÅNE LÄN</t>
        </is>
      </c>
      <c r="G163" t="inlineStr">
        <is>
          <t>ÖSTRA GÖINGE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44937</v>
      </c>
      <c r="E164" s="1" t="n">
        <v>46230</v>
      </c>
      <c r="F164" t="inlineStr">
        <is>
          <t>SKÅNE LÄN</t>
        </is>
      </c>
      <c r="G164" t="inlineStr">
        <is>
          <t>ÖSTRA GÖINGE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45316</v>
      </c>
      <c r="E165" s="1" t="n">
        <v>46230</v>
      </c>
      <c r="F165" t="inlineStr">
        <is>
          <t>SKÅNE LÄN</t>
        </is>
      </c>
      <c r="G165" t="inlineStr">
        <is>
          <t>ÖSTRA GÖINGE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45820</v>
      </c>
      <c r="E166" s="1" t="n">
        <v>46230</v>
      </c>
      <c r="F166" t="inlineStr">
        <is>
          <t>SKÅNE LÄN</t>
        </is>
      </c>
      <c r="G166" t="inlineStr">
        <is>
          <t>ÖSTRA GÖINGE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54973-2025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46230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45422</v>
      </c>
      <c r="E168" s="1" t="n">
        <v>46230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46230</v>
      </c>
      <c r="F169" t="inlineStr">
        <is>
          <t>SKÅNE LÄN</t>
        </is>
      </c>
      <c r="G169" t="inlineStr">
        <is>
          <t>ÖSTRA GÖINGE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46230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44937</v>
      </c>
      <c r="E171" s="1" t="n">
        <v>46230</v>
      </c>
      <c r="F171" t="inlineStr">
        <is>
          <t>SKÅNE LÄN</t>
        </is>
      </c>
      <c r="G171" t="inlineStr">
        <is>
          <t>ÖSTRA GÖINGE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46230</v>
      </c>
      <c r="F172" t="inlineStr">
        <is>
          <t>SKÅNE LÄN</t>
        </is>
      </c>
      <c r="G172" t="inlineStr">
        <is>
          <t>ÖSTRA GÖINGE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71741-2021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44539</v>
      </c>
      <c r="E173" s="1" t="n">
        <v>46230</v>
      </c>
      <c r="F173" t="inlineStr">
        <is>
          <t>SKÅNE LÄN</t>
        </is>
      </c>
      <c r="G173" t="inlineStr">
        <is>
          <t>ÖSTRA GÖINGE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46230</v>
      </c>
      <c r="F174" t="inlineStr">
        <is>
          <t>SKÅNE LÄN</t>
        </is>
      </c>
      <c r="G174" t="inlineStr">
        <is>
          <t>ÖSTRA GÖINGE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46230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46230</v>
      </c>
      <c r="F176" t="inlineStr">
        <is>
          <t>SKÅNE LÄN</t>
        </is>
      </c>
      <c r="G176" t="inlineStr">
        <is>
          <t>ÖSTRA GÖINGE</t>
        </is>
      </c>
      <c r="H176" t="inlineStr">
        <is>
          <t>Kyrkan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46230</v>
      </c>
      <c r="F177" t="inlineStr">
        <is>
          <t>SKÅNE LÄN</t>
        </is>
      </c>
      <c r="G177" t="inlineStr">
        <is>
          <t>ÖSTRA GÖINGE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46230</v>
      </c>
      <c r="F178" t="inlineStr">
        <is>
          <t>SKÅNE LÄN</t>
        </is>
      </c>
      <c r="G178" t="inlineStr">
        <is>
          <t>ÖSTRA GÖINGE</t>
        </is>
      </c>
      <c r="H178" t="inlineStr">
        <is>
          <t>Kyrkan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44914</v>
      </c>
      <c r="E179" s="1" t="n">
        <v>46230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59359-2024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46230</v>
      </c>
      <c r="F180" t="inlineStr">
        <is>
          <t>SKÅNE LÄN</t>
        </is>
      </c>
      <c r="G180" t="inlineStr">
        <is>
          <t>ÖSTRA GÖINGE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46279-2024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45581</v>
      </c>
      <c r="E181" s="1" t="n">
        <v>46230</v>
      </c>
      <c r="F181" t="inlineStr">
        <is>
          <t>SKÅNE LÄN</t>
        </is>
      </c>
      <c r="G181" t="inlineStr">
        <is>
          <t>ÖSTRA GÖINGE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45909</v>
      </c>
      <c r="E182" s="1" t="n">
        <v>46230</v>
      </c>
      <c r="F182" t="inlineStr">
        <is>
          <t>SKÅNE LÄN</t>
        </is>
      </c>
      <c r="G182" t="inlineStr">
        <is>
          <t>ÖSTRA GÖINGE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45331</v>
      </c>
      <c r="E183" s="1" t="n">
        <v>46230</v>
      </c>
      <c r="F183" t="inlineStr">
        <is>
          <t>SKÅNE LÄN</t>
        </is>
      </c>
      <c r="G183" t="inlineStr">
        <is>
          <t>ÖSTRA GÖINGE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47405-2022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44853</v>
      </c>
      <c r="E184" s="1" t="n">
        <v>46230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45069</v>
      </c>
      <c r="E185" s="1" t="n">
        <v>46230</v>
      </c>
      <c r="F185" t="inlineStr">
        <is>
          <t>SKÅNE LÄN</t>
        </is>
      </c>
      <c r="G185" t="inlineStr">
        <is>
          <t>ÖSTRA GÖINGE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45268</v>
      </c>
      <c r="E186" s="1" t="n">
        <v>46230</v>
      </c>
      <c r="F186" t="inlineStr">
        <is>
          <t>SKÅNE LÄN</t>
        </is>
      </c>
      <c r="G186" t="inlineStr">
        <is>
          <t>ÖSTRA GÖINGE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24526-2023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45082</v>
      </c>
      <c r="E187" s="1" t="n">
        <v>46230</v>
      </c>
      <c r="F187" t="inlineStr">
        <is>
          <t>SKÅNE LÄN</t>
        </is>
      </c>
      <c r="G187" t="inlineStr">
        <is>
          <t>ÖSTRA GÖINGE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42313-2024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46230</v>
      </c>
      <c r="F188" t="inlineStr">
        <is>
          <t>SKÅNE LÄN</t>
        </is>
      </c>
      <c r="G188" t="inlineStr">
        <is>
          <t>ÖSTRA GÖINGE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57539-2022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46230</v>
      </c>
      <c r="F189" t="inlineStr">
        <is>
          <t>SKÅNE LÄN</t>
        </is>
      </c>
      <c r="G189" t="inlineStr">
        <is>
          <t>ÖSTRA GÖINGE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46230</v>
      </c>
      <c r="F190" t="inlineStr">
        <is>
          <t>SKÅNE LÄN</t>
        </is>
      </c>
      <c r="G190" t="inlineStr">
        <is>
          <t>ÖSTRA GÖINGE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47584-2023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46230</v>
      </c>
      <c r="F191" t="inlineStr">
        <is>
          <t>SKÅNE LÄN</t>
        </is>
      </c>
      <c r="G191" t="inlineStr">
        <is>
          <t>ÖSTRA GÖINGE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46230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46230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46230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16743-2024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45410</v>
      </c>
      <c r="E195" s="1" t="n">
        <v>46230</v>
      </c>
      <c r="F195" t="inlineStr">
        <is>
          <t>SKÅNE LÄN</t>
        </is>
      </c>
      <c r="G195" t="inlineStr">
        <is>
          <t>ÖSTRA GÖINGE</t>
        </is>
      </c>
      <c r="I195" t="n">
        <v>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46230</v>
      </c>
      <c r="F196" t="inlineStr">
        <is>
          <t>SKÅNE LÄN</t>
        </is>
      </c>
      <c r="G196" t="inlineStr">
        <is>
          <t>ÖSTRA GÖINGE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46230</v>
      </c>
      <c r="F197" t="inlineStr">
        <is>
          <t>SKÅNE LÄN</t>
        </is>
      </c>
      <c r="G197" t="inlineStr">
        <is>
          <t>ÖSTRA GÖINGE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45935</v>
      </c>
      <c r="E198" s="1" t="n">
        <v>46230</v>
      </c>
      <c r="F198" t="inlineStr">
        <is>
          <t>SKÅNE LÄN</t>
        </is>
      </c>
      <c r="G198" t="inlineStr">
        <is>
          <t>ÖSTRA GÖINGE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45172</v>
      </c>
      <c r="E199" s="1" t="n">
        <v>46230</v>
      </c>
      <c r="F199" t="inlineStr">
        <is>
          <t>SKÅNE LÄN</t>
        </is>
      </c>
      <c r="G199" t="inlineStr">
        <is>
          <t>ÖSTRA GÖINGE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45029</v>
      </c>
      <c r="E200" s="1" t="n">
        <v>46230</v>
      </c>
      <c r="F200" t="inlineStr">
        <is>
          <t>SKÅNE LÄN</t>
        </is>
      </c>
      <c r="G200" t="inlineStr">
        <is>
          <t>ÖSTRA GÖINGE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15993-2024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46230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46709-2024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46230</v>
      </c>
      <c r="F202" t="inlineStr">
        <is>
          <t>SKÅNE LÄN</t>
        </is>
      </c>
      <c r="G202" t="inlineStr">
        <is>
          <t>ÖSTRA GÖINGE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46230</v>
      </c>
      <c r="F203" t="inlineStr">
        <is>
          <t>SKÅNE LÄN</t>
        </is>
      </c>
      <c r="G203" t="inlineStr">
        <is>
          <t>ÖSTRA GÖINGE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47628-2022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44852</v>
      </c>
      <c r="E204" s="1" t="n">
        <v>46230</v>
      </c>
      <c r="F204" t="inlineStr">
        <is>
          <t>SKÅNE LÄN</t>
        </is>
      </c>
      <c r="G204" t="inlineStr">
        <is>
          <t>ÖSTRA GÖINGE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46230</v>
      </c>
      <c r="F205" t="inlineStr">
        <is>
          <t>SKÅNE LÄN</t>
        </is>
      </c>
      <c r="G205" t="inlineStr">
        <is>
          <t>ÖSTRA GÖINGE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45680</v>
      </c>
      <c r="E206" s="1" t="n">
        <v>46230</v>
      </c>
      <c r="F206" t="inlineStr">
        <is>
          <t>SKÅNE LÄN</t>
        </is>
      </c>
      <c r="G206" t="inlineStr">
        <is>
          <t>ÖSTRA GÖINGE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37550-2024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45541</v>
      </c>
      <c r="E207" s="1" t="n">
        <v>46230</v>
      </c>
      <c r="F207" t="inlineStr">
        <is>
          <t>SKÅNE LÄN</t>
        </is>
      </c>
      <c r="G207" t="inlineStr">
        <is>
          <t>ÖSTRA GÖINGE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46230</v>
      </c>
      <c r="F208" t="inlineStr">
        <is>
          <t>SKÅNE LÄN</t>
        </is>
      </c>
      <c r="G208" t="inlineStr">
        <is>
          <t>ÖSTRA GÖINGE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52522-2021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44466</v>
      </c>
      <c r="E209" s="1" t="n">
        <v>46230</v>
      </c>
      <c r="F209" t="inlineStr">
        <is>
          <t>SKÅNE LÄN</t>
        </is>
      </c>
      <c r="G209" t="inlineStr">
        <is>
          <t>ÖSTRA GÖINGE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44606</v>
      </c>
      <c r="E210" s="1" t="n">
        <v>46230</v>
      </c>
      <c r="F210" t="inlineStr">
        <is>
          <t>SKÅNE LÄN</t>
        </is>
      </c>
      <c r="G210" t="inlineStr">
        <is>
          <t>ÖSTRA GÖINGE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45632</v>
      </c>
      <c r="E211" s="1" t="n">
        <v>46230</v>
      </c>
      <c r="F211" t="inlineStr">
        <is>
          <t>SKÅNE LÄN</t>
        </is>
      </c>
      <c r="G211" t="inlineStr">
        <is>
          <t>ÖSTRA GÖINGE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59601-2023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46230</v>
      </c>
      <c r="F212" t="inlineStr">
        <is>
          <t>SKÅNE LÄN</t>
        </is>
      </c>
      <c r="G212" t="inlineStr">
        <is>
          <t>ÖSTRA GÖINGE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46230</v>
      </c>
      <c r="F213" t="inlineStr">
        <is>
          <t>SKÅNE LÄN</t>
        </is>
      </c>
      <c r="G213" t="inlineStr">
        <is>
          <t>ÖSTRA GÖINGE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21260-2026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46147</v>
      </c>
      <c r="E214" s="1" t="n">
        <v>46230</v>
      </c>
      <c r="F214" t="inlineStr">
        <is>
          <t>SKÅNE LÄN</t>
        </is>
      </c>
      <c r="G214" t="inlineStr">
        <is>
          <t>ÖSTRA GÖINGE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46230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45184</v>
      </c>
      <c r="E216" s="1" t="n">
        <v>46230</v>
      </c>
      <c r="F216" t="inlineStr">
        <is>
          <t>SKÅNE LÄN</t>
        </is>
      </c>
      <c r="G216" t="inlineStr">
        <is>
          <t>ÖSTRA GÖINGE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46230</v>
      </c>
      <c r="F217" t="inlineStr">
        <is>
          <t>SKÅNE LÄN</t>
        </is>
      </c>
      <c r="G217" t="inlineStr">
        <is>
          <t>ÖSTRA GÖINGE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46230</v>
      </c>
      <c r="F218" t="inlineStr">
        <is>
          <t>SKÅNE LÄN</t>
        </is>
      </c>
      <c r="G218" t="inlineStr">
        <is>
          <t>ÖSTRA GÖINGE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45069</v>
      </c>
      <c r="E219" s="1" t="n">
        <v>46230</v>
      </c>
      <c r="F219" t="inlineStr">
        <is>
          <t>SKÅNE LÄN</t>
        </is>
      </c>
      <c r="G219" t="inlineStr">
        <is>
          <t>ÖSTRA GÖINGE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69383-2021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44531</v>
      </c>
      <c r="E220" s="1" t="n">
        <v>46230</v>
      </c>
      <c r="F220" t="inlineStr">
        <is>
          <t>SKÅNE LÄN</t>
        </is>
      </c>
      <c r="G220" t="inlineStr">
        <is>
          <t>ÖSTRA GÖINGE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69390-2021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44531</v>
      </c>
      <c r="E221" s="1" t="n">
        <v>46230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44918</v>
      </c>
      <c r="E222" s="1" t="n">
        <v>46230</v>
      </c>
      <c r="F222" t="inlineStr">
        <is>
          <t>SKÅNE LÄN</t>
        </is>
      </c>
      <c r="G222" t="inlineStr">
        <is>
          <t>ÖSTRA GÖINGE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45156</v>
      </c>
      <c r="E223" s="1" t="n">
        <v>46230</v>
      </c>
      <c r="F223" t="inlineStr">
        <is>
          <t>SKÅNE LÄN</t>
        </is>
      </c>
      <c r="G223" t="inlineStr">
        <is>
          <t>ÖSTRA GÖINGE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46230</v>
      </c>
      <c r="F224" t="inlineStr">
        <is>
          <t>SKÅNE LÄN</t>
        </is>
      </c>
      <c r="G224" t="inlineStr">
        <is>
          <t>ÖSTRA GÖINGE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64181-2023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45279</v>
      </c>
      <c r="E225" s="1" t="n">
        <v>46230</v>
      </c>
      <c r="F225" t="inlineStr">
        <is>
          <t>SKÅNE LÄN</t>
        </is>
      </c>
      <c r="G225" t="inlineStr">
        <is>
          <t>ÖSTRA GÖINGE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45966</v>
      </c>
      <c r="E226" s="1" t="n">
        <v>46230</v>
      </c>
      <c r="F226" t="inlineStr">
        <is>
          <t>SKÅNE LÄN</t>
        </is>
      </c>
      <c r="G226" t="inlineStr">
        <is>
          <t>ÖSTRA GÖINGE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45966</v>
      </c>
      <c r="E227" s="1" t="n">
        <v>46230</v>
      </c>
      <c r="F227" t="inlineStr">
        <is>
          <t>SKÅNE LÄN</t>
        </is>
      </c>
      <c r="G227" t="inlineStr">
        <is>
          <t>ÖSTRA GÖINGE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46230</v>
      </c>
      <c r="F228" t="inlineStr">
        <is>
          <t>SKÅNE LÄN</t>
        </is>
      </c>
      <c r="G228" t="inlineStr">
        <is>
          <t>ÖSTRA GÖINGE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46230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46230</v>
      </c>
      <c r="F230" t="inlineStr">
        <is>
          <t>SKÅNE LÄN</t>
        </is>
      </c>
      <c r="G230" t="inlineStr">
        <is>
          <t>ÖSTRA GÖINGE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55310-2025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45970</v>
      </c>
      <c r="E231" s="1" t="n">
        <v>46230</v>
      </c>
      <c r="F231" t="inlineStr">
        <is>
          <t>SKÅNE LÄN</t>
        </is>
      </c>
      <c r="G231" t="inlineStr">
        <is>
          <t>ÖSTRA GÖINGE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46230</v>
      </c>
      <c r="F232" t="inlineStr">
        <is>
          <t>SKÅNE LÄN</t>
        </is>
      </c>
      <c r="G232" t="inlineStr">
        <is>
          <t>ÖSTRA GÖINGE</t>
        </is>
      </c>
      <c r="H232" t="inlineStr">
        <is>
          <t>Sveaskog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55823-2025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46230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45972</v>
      </c>
      <c r="E234" s="1" t="n">
        <v>46230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46230</v>
      </c>
      <c r="F235" t="inlineStr">
        <is>
          <t>SKÅNE LÄN</t>
        </is>
      </c>
      <c r="G235" t="inlineStr">
        <is>
          <t>ÖSTRA GÖINGE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45622</v>
      </c>
      <c r="E236" s="1" t="n">
        <v>46230</v>
      </c>
      <c r="F236" t="inlineStr">
        <is>
          <t>SKÅNE LÄN</t>
        </is>
      </c>
      <c r="G236" t="inlineStr">
        <is>
          <t>ÖSTRA GÖINGE</t>
        </is>
      </c>
      <c r="H236" t="inlineStr">
        <is>
          <t>Sveaskog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46230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11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2364-2024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45310</v>
      </c>
      <c r="E238" s="1" t="n">
        <v>46230</v>
      </c>
      <c r="F238" t="inlineStr">
        <is>
          <t>SKÅNE LÄN</t>
        </is>
      </c>
      <c r="G238" t="inlineStr">
        <is>
          <t>ÖSTRA GÖINGE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56610-2025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46230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45105</v>
      </c>
      <c r="E240" s="1" t="n">
        <v>46230</v>
      </c>
      <c r="F240" t="inlineStr">
        <is>
          <t>SKÅNE LÄN</t>
        </is>
      </c>
      <c r="G240" t="inlineStr">
        <is>
          <t>ÖSTRA GÖINGE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46230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46230</v>
      </c>
      <c r="F242" t="inlineStr">
        <is>
          <t>SKÅNE LÄN</t>
        </is>
      </c>
      <c r="G242" t="inlineStr">
        <is>
          <t>ÖSTRA GÖINGE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46230</v>
      </c>
      <c r="F243" t="inlineStr">
        <is>
          <t>SKÅNE LÄN</t>
        </is>
      </c>
      <c r="G243" t="inlineStr">
        <is>
          <t>ÖSTRA GÖINGE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57487-2023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46230</v>
      </c>
      <c r="F244" t="inlineStr">
        <is>
          <t>SKÅNE LÄN</t>
        </is>
      </c>
      <c r="G244" t="inlineStr">
        <is>
          <t>ÖSTRA GÖINGE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46230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46230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44977</v>
      </c>
      <c r="E247" s="1" t="n">
        <v>46230</v>
      </c>
      <c r="F247" t="inlineStr">
        <is>
          <t>SKÅNE LÄN</t>
        </is>
      </c>
      <c r="G247" t="inlineStr">
        <is>
          <t>ÖSTRA GÖINGE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55933-2023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46230</v>
      </c>
      <c r="F248" t="inlineStr">
        <is>
          <t>SKÅNE LÄN</t>
        </is>
      </c>
      <c r="G248" t="inlineStr">
        <is>
          <t>ÖSTRA GÖINGE</t>
        </is>
      </c>
      <c r="I248" t="n">
        <v>10.6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46230</v>
      </c>
      <c r="F249" t="inlineStr">
        <is>
          <t>SKÅNE LÄN</t>
        </is>
      </c>
      <c r="G249" t="inlineStr">
        <is>
          <t>ÖSTRA GÖINGE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45209</v>
      </c>
      <c r="E250" s="1" t="n">
        <v>46230</v>
      </c>
      <c r="F250" t="inlineStr">
        <is>
          <t>SKÅNE LÄN</t>
        </is>
      </c>
      <c r="G250" t="inlineStr">
        <is>
          <t>ÖSTRA GÖINGE</t>
        </is>
      </c>
      <c r="I250" t="n">
        <v>6.4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52051-2022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44873</v>
      </c>
      <c r="E251" s="1" t="n">
        <v>46230</v>
      </c>
      <c r="F251" t="inlineStr">
        <is>
          <t>SKÅNE LÄN</t>
        </is>
      </c>
      <c r="G251" t="inlineStr">
        <is>
          <t>ÖSTRA GÖINGE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45993</v>
      </c>
      <c r="E252" s="1" t="n">
        <v>46230</v>
      </c>
      <c r="F252" t="inlineStr">
        <is>
          <t>SKÅNE LÄN</t>
        </is>
      </c>
      <c r="G252" t="inlineStr">
        <is>
          <t>ÖSTRA GÖINGE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17855-2025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46230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45758</v>
      </c>
      <c r="E254" s="1" t="n">
        <v>46230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46230</v>
      </c>
      <c r="F255" t="inlineStr">
        <is>
          <t>SKÅNE LÄN</t>
        </is>
      </c>
      <c r="G255" t="inlineStr">
        <is>
          <t>ÖSTRA GÖINGE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45408</v>
      </c>
      <c r="E256" s="1" t="n">
        <v>46230</v>
      </c>
      <c r="F256" t="inlineStr">
        <is>
          <t>SKÅNE LÄN</t>
        </is>
      </c>
      <c r="G256" t="inlineStr">
        <is>
          <t>ÖSTRA GÖINGE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46230</v>
      </c>
      <c r="F257" t="inlineStr">
        <is>
          <t>SKÅNE LÄN</t>
        </is>
      </c>
      <c r="G257" t="inlineStr">
        <is>
          <t>ÖSTRA GÖINGE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50922-2021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44459</v>
      </c>
      <c r="E258" s="1" t="n">
        <v>46230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46230</v>
      </c>
      <c r="F259" t="inlineStr">
        <is>
          <t>SKÅNE LÄN</t>
        </is>
      </c>
      <c r="G259" t="inlineStr">
        <is>
          <t>ÖSTRA GÖINGE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46230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22094-2024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45443</v>
      </c>
      <c r="E261" s="1" t="n">
        <v>46230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44937</v>
      </c>
      <c r="E262" s="1" t="n">
        <v>46230</v>
      </c>
      <c r="F262" t="inlineStr">
        <is>
          <t>SKÅNE LÄN</t>
        </is>
      </c>
      <c r="G262" t="inlineStr">
        <is>
          <t>ÖSTRA GÖINGE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66526-2021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44519</v>
      </c>
      <c r="E263" s="1" t="n">
        <v>46230</v>
      </c>
      <c r="F263" t="inlineStr">
        <is>
          <t>SKÅNE LÄN</t>
        </is>
      </c>
      <c r="G263" t="inlineStr">
        <is>
          <t>ÖSTRA GÖINGE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44929</v>
      </c>
      <c r="E264" s="1" t="n">
        <v>46230</v>
      </c>
      <c r="F264" t="inlineStr">
        <is>
          <t>SKÅNE LÄN</t>
        </is>
      </c>
      <c r="G264" t="inlineStr">
        <is>
          <t>ÖSTRA GÖINGE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56647-2023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45243</v>
      </c>
      <c r="E265" s="1" t="n">
        <v>46230</v>
      </c>
      <c r="F265" t="inlineStr">
        <is>
          <t>SKÅNE LÄN</t>
        </is>
      </c>
      <c r="G265" t="inlineStr">
        <is>
          <t>ÖSTRA GÖINGE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46230</v>
      </c>
      <c r="F266" t="inlineStr">
        <is>
          <t>SKÅNE LÄN</t>
        </is>
      </c>
      <c r="G266" t="inlineStr">
        <is>
          <t>ÖSTRA GÖINGE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13140-2024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45386</v>
      </c>
      <c r="E267" s="1" t="n">
        <v>46230</v>
      </c>
      <c r="F267" t="inlineStr">
        <is>
          <t>SKÅNE LÄN</t>
        </is>
      </c>
      <c r="G267" t="inlineStr">
        <is>
          <t>ÖSTRA GÖINGE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22327-2026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46154</v>
      </c>
      <c r="E268" s="1" t="n">
        <v>46230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44686</v>
      </c>
      <c r="E269" s="1" t="n">
        <v>46230</v>
      </c>
      <c r="F269" t="inlineStr">
        <is>
          <t>SKÅNE LÄN</t>
        </is>
      </c>
      <c r="G269" t="inlineStr">
        <is>
          <t>ÖSTRA GÖINGE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45435</v>
      </c>
      <c r="E270" s="1" t="n">
        <v>46230</v>
      </c>
      <c r="F270" t="inlineStr">
        <is>
          <t>SKÅNE LÄN</t>
        </is>
      </c>
      <c r="G270" t="inlineStr">
        <is>
          <t>ÖSTRA GÖINGE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26339-2023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46230</v>
      </c>
      <c r="F271" t="inlineStr">
        <is>
          <t>SKÅNE LÄN</t>
        </is>
      </c>
      <c r="G271" t="inlineStr">
        <is>
          <t>ÖSTRA GÖINGE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63891-2023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46230</v>
      </c>
      <c r="F272" t="inlineStr">
        <is>
          <t>SKÅNE LÄN</t>
        </is>
      </c>
      <c r="G272" t="inlineStr">
        <is>
          <t>ÖSTRA GÖINGE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42192-2023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45179</v>
      </c>
      <c r="E273" s="1" t="n">
        <v>46230</v>
      </c>
      <c r="F273" t="inlineStr">
        <is>
          <t>SKÅNE LÄN</t>
        </is>
      </c>
      <c r="G273" t="inlineStr">
        <is>
          <t>ÖSTRA GÖINGE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46230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44853-2024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46230</v>
      </c>
      <c r="F275" t="inlineStr">
        <is>
          <t>SKÅNE LÄN</t>
        </is>
      </c>
      <c r="G275" t="inlineStr">
        <is>
          <t>ÖSTRA GÖINGE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46230</v>
      </c>
      <c r="F276" t="inlineStr">
        <is>
          <t>SKÅNE LÄN</t>
        </is>
      </c>
      <c r="G276" t="inlineStr">
        <is>
          <t>ÖSTRA GÖINGE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44910</v>
      </c>
      <c r="E277" s="1" t="n">
        <v>46230</v>
      </c>
      <c r="F277" t="inlineStr">
        <is>
          <t>SKÅNE LÄN</t>
        </is>
      </c>
      <c r="G277" t="inlineStr">
        <is>
          <t>ÖSTRA GÖINGE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42592-2021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44428</v>
      </c>
      <c r="E278" s="1" t="n">
        <v>46230</v>
      </c>
      <c r="F278" t="inlineStr">
        <is>
          <t>SKÅNE LÄN</t>
        </is>
      </c>
      <c r="G278" t="inlineStr">
        <is>
          <t>ÖSTRA GÖINGE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46009</v>
      </c>
      <c r="E279" s="1" t="n">
        <v>46230</v>
      </c>
      <c r="F279" t="inlineStr">
        <is>
          <t>SKÅNE LÄN</t>
        </is>
      </c>
      <c r="G279" t="inlineStr">
        <is>
          <t>ÖSTRA GÖINGE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45568</v>
      </c>
      <c r="E280" s="1" t="n">
        <v>46230</v>
      </c>
      <c r="F280" t="inlineStr">
        <is>
          <t>SKÅNE LÄN</t>
        </is>
      </c>
      <c r="G280" t="inlineStr">
        <is>
          <t>ÖSTRA GÖINGE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44826</v>
      </c>
      <c r="E281" s="1" t="n">
        <v>46230</v>
      </c>
      <c r="F281" t="inlineStr">
        <is>
          <t>SKÅNE LÄN</t>
        </is>
      </c>
      <c r="G281" t="inlineStr">
        <is>
          <t>ÖSTRA GÖINGE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46230</v>
      </c>
      <c r="F282" t="inlineStr">
        <is>
          <t>SKÅNE LÄN</t>
        </is>
      </c>
      <c r="G282" t="inlineStr">
        <is>
          <t>ÖSTRA GÖINGE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46230</v>
      </c>
      <c r="F283" t="inlineStr">
        <is>
          <t>SKÅNE LÄN</t>
        </is>
      </c>
      <c r="G283" t="inlineStr">
        <is>
          <t>ÖSTRA GÖINGE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46029</v>
      </c>
      <c r="E284" s="1" t="n">
        <v>46230</v>
      </c>
      <c r="F284" t="inlineStr">
        <is>
          <t>SKÅNE LÄN</t>
        </is>
      </c>
      <c r="G284" t="inlineStr">
        <is>
          <t>ÖSTRA GÖINGE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46230</v>
      </c>
      <c r="F285" t="inlineStr">
        <is>
          <t>SKÅNE LÄN</t>
        </is>
      </c>
      <c r="G285" t="inlineStr">
        <is>
          <t>ÖSTRA GÖINGE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46230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46230</v>
      </c>
      <c r="F287" t="inlineStr">
        <is>
          <t>SKÅNE LÄN</t>
        </is>
      </c>
      <c r="G287" t="inlineStr">
        <is>
          <t>ÖSTRA GÖINGE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45321</v>
      </c>
      <c r="E288" s="1" t="n">
        <v>46230</v>
      </c>
      <c r="F288" t="inlineStr">
        <is>
          <t>SKÅNE LÄN</t>
        </is>
      </c>
      <c r="G288" t="inlineStr">
        <is>
          <t>ÖSTRA GÖINGE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46230</v>
      </c>
      <c r="F289" t="inlineStr">
        <is>
          <t>SKÅNE LÄN</t>
        </is>
      </c>
      <c r="G289" t="inlineStr">
        <is>
          <t>ÖSTRA GÖINGE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853-2026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46230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45349</v>
      </c>
      <c r="E291" s="1" t="n">
        <v>46230</v>
      </c>
      <c r="F291" t="inlineStr">
        <is>
          <t>SKÅNE LÄN</t>
        </is>
      </c>
      <c r="G291" t="inlineStr">
        <is>
          <t>ÖSTRA GÖINGE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46230</v>
      </c>
      <c r="F292" t="inlineStr">
        <is>
          <t>SKÅNE LÄN</t>
        </is>
      </c>
      <c r="G292" t="inlineStr">
        <is>
          <t>ÖSTRA GÖINGE</t>
        </is>
      </c>
      <c r="H292" t="inlineStr">
        <is>
          <t>Sveaskog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9537-2023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46230</v>
      </c>
      <c r="F293" t="inlineStr">
        <is>
          <t>SKÅNE LÄN</t>
        </is>
      </c>
      <c r="G293" t="inlineStr">
        <is>
          <t>ÖSTRA GÖINGE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12671-2025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45733</v>
      </c>
      <c r="E294" s="1" t="n">
        <v>46230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46230</v>
      </c>
      <c r="F295" t="inlineStr">
        <is>
          <t>SKÅNE LÄN</t>
        </is>
      </c>
      <c r="G295" t="inlineStr">
        <is>
          <t>ÖSTRA GÖINGE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46230</v>
      </c>
      <c r="F296" t="inlineStr">
        <is>
          <t>SKÅNE LÄN</t>
        </is>
      </c>
      <c r="G296" t="inlineStr">
        <is>
          <t>ÖSTRA GÖINGE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11645-2025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46230</v>
      </c>
      <c r="F297" t="inlineStr">
        <is>
          <t>SKÅNE LÄN</t>
        </is>
      </c>
      <c r="G297" t="inlineStr">
        <is>
          <t>ÖSTRA GÖINGE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46230</v>
      </c>
      <c r="F298" t="inlineStr">
        <is>
          <t>SKÅNE LÄN</t>
        </is>
      </c>
      <c r="G298" t="inlineStr">
        <is>
          <t>ÖSTRA GÖINGE</t>
        </is>
      </c>
      <c r="I298" t="n">
        <v>7.7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46230</v>
      </c>
      <c r="F299" t="inlineStr">
        <is>
          <t>SKÅNE LÄN</t>
        </is>
      </c>
      <c r="G299" t="inlineStr">
        <is>
          <t>ÖSTRA GÖINGE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46230</v>
      </c>
      <c r="F300" t="inlineStr">
        <is>
          <t>SKÅNE LÄN</t>
        </is>
      </c>
      <c r="G300" t="inlineStr">
        <is>
          <t>ÖSTRA GÖINGE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46230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46230</v>
      </c>
      <c r="F302" t="inlineStr">
        <is>
          <t>SKÅNE LÄN</t>
        </is>
      </c>
      <c r="G302" t="inlineStr">
        <is>
          <t>ÖSTRA GÖINGE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23603-2026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46230</v>
      </c>
      <c r="F303" t="inlineStr">
        <is>
          <t>SKÅNE LÄN</t>
        </is>
      </c>
      <c r="G303" t="inlineStr">
        <is>
          <t>ÖSTRA GÖINGE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46230</v>
      </c>
      <c r="F304" t="inlineStr">
        <is>
          <t>SKÅNE LÄN</t>
        </is>
      </c>
      <c r="G304" t="inlineStr">
        <is>
          <t>ÖSTRA GÖINGE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74142-2021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44557</v>
      </c>
      <c r="E305" s="1" t="n">
        <v>46230</v>
      </c>
      <c r="F305" t="inlineStr">
        <is>
          <t>SKÅNE LÄN</t>
        </is>
      </c>
      <c r="G305" t="inlineStr">
        <is>
          <t>ÖSTRA GÖINGE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46163</v>
      </c>
      <c r="E306" s="1" t="n">
        <v>46230</v>
      </c>
      <c r="F306" t="inlineStr">
        <is>
          <t>SKÅNE LÄN</t>
        </is>
      </c>
      <c r="G306" t="inlineStr">
        <is>
          <t>ÖSTRA GÖINGE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23596-2026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46230</v>
      </c>
      <c r="F307" t="inlineStr">
        <is>
          <t>SKÅNE LÄN</t>
        </is>
      </c>
      <c r="G307" t="inlineStr">
        <is>
          <t>ÖSTRA GÖINGE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46230</v>
      </c>
      <c r="F308" t="inlineStr">
        <is>
          <t>SKÅNE LÄN</t>
        </is>
      </c>
      <c r="G308" t="inlineStr">
        <is>
          <t>ÖSTRA GÖINGE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46230</v>
      </c>
      <c r="F309" t="inlineStr">
        <is>
          <t>SKÅNE LÄN</t>
        </is>
      </c>
      <c r="G309" t="inlineStr">
        <is>
          <t>ÖSTRA GÖINGE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55490-2022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44887</v>
      </c>
      <c r="E310" s="1" t="n">
        <v>46230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46205</v>
      </c>
      <c r="E311" s="1" t="n">
        <v>46230</v>
      </c>
      <c r="F311" t="inlineStr">
        <is>
          <t>SKÅNE LÄN</t>
        </is>
      </c>
      <c r="G311" t="inlineStr">
        <is>
          <t>ÖSTRA GÖINGE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45256</v>
      </c>
      <c r="E312" s="1" t="n">
        <v>46230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7057-2026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46057</v>
      </c>
      <c r="E313" s="1" t="n">
        <v>46230</v>
      </c>
      <c r="F313" t="inlineStr">
        <is>
          <t>SKÅNE LÄN</t>
        </is>
      </c>
      <c r="G313" t="inlineStr">
        <is>
          <t>ÖSTRA GÖINGE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30111-2026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46206</v>
      </c>
      <c r="E314" s="1" t="n">
        <v>46230</v>
      </c>
      <c r="F314" t="inlineStr">
        <is>
          <t>SKÅNE LÄN</t>
        </is>
      </c>
      <c r="G314" t="inlineStr">
        <is>
          <t>ÖSTRA GÖINGE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46230</v>
      </c>
      <c r="F315" t="inlineStr">
        <is>
          <t>SKÅNE LÄN</t>
        </is>
      </c>
      <c r="G315" t="inlineStr">
        <is>
          <t>ÖSTRA GÖINGE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7279-2026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46058</v>
      </c>
      <c r="E316" s="1" t="n">
        <v>46230</v>
      </c>
      <c r="F316" t="inlineStr">
        <is>
          <t>SKÅNE LÄN</t>
        </is>
      </c>
      <c r="G316" t="inlineStr">
        <is>
          <t>ÖSTRA GÖINGE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46230</v>
      </c>
      <c r="F317" t="inlineStr">
        <is>
          <t>SKÅNE LÄN</t>
        </is>
      </c>
      <c r="G317" t="inlineStr">
        <is>
          <t>ÖSTRA GÖINGE</t>
        </is>
      </c>
      <c r="I317" t="n">
        <v>15.4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9081-2026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46069</v>
      </c>
      <c r="E318" s="1" t="n">
        <v>46230</v>
      </c>
      <c r="F318" t="inlineStr">
        <is>
          <t>SKÅNE LÄN</t>
        </is>
      </c>
      <c r="G318" t="inlineStr">
        <is>
          <t>ÖSTRA GÖINGE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45330</v>
      </c>
      <c r="E319" s="1" t="n">
        <v>46230</v>
      </c>
      <c r="F319" t="inlineStr">
        <is>
          <t>SKÅNE LÄN</t>
        </is>
      </c>
      <c r="G319" t="inlineStr">
        <is>
          <t>ÖSTRA GÖINGE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71747-2021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44539</v>
      </c>
      <c r="E320" s="1" t="n">
        <v>46230</v>
      </c>
      <c r="F320" t="inlineStr">
        <is>
          <t>SKÅNE LÄN</t>
        </is>
      </c>
      <c r="G320" t="inlineStr">
        <is>
          <t>ÖSTRA GÖINGE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8367-2023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46230</v>
      </c>
      <c r="F321" t="inlineStr">
        <is>
          <t>SKÅNE LÄN</t>
        </is>
      </c>
      <c r="G321" t="inlineStr">
        <is>
          <t>ÖSTRA GÖINGE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43224-2024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45567</v>
      </c>
      <c r="E322" s="1" t="n">
        <v>46230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46230</v>
      </c>
      <c r="F323" t="inlineStr">
        <is>
          <t>SKÅNE LÄN</t>
        </is>
      </c>
      <c r="G323" t="inlineStr">
        <is>
          <t>ÖSTRA GÖINGE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11761-2026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46084</v>
      </c>
      <c r="E324" s="1" t="n">
        <v>46230</v>
      </c>
      <c r="F324" t="inlineStr">
        <is>
          <t>SKÅNE LÄN</t>
        </is>
      </c>
      <c r="G324" t="inlineStr">
        <is>
          <t>ÖSTRA GÖINGE</t>
        </is>
      </c>
      <c r="I324" t="n">
        <v>12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46084</v>
      </c>
      <c r="E325" s="1" t="n">
        <v>46230</v>
      </c>
      <c r="F325" t="inlineStr">
        <is>
          <t>SKÅNE LÄN</t>
        </is>
      </c>
      <c r="G325" t="inlineStr">
        <is>
          <t>ÖSTRA GÖINGE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46230</v>
      </c>
      <c r="F326" t="inlineStr">
        <is>
          <t>SKÅNE LÄN</t>
        </is>
      </c>
      <c r="G326" t="inlineStr">
        <is>
          <t>ÖSTRA GÖINGE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46230</v>
      </c>
      <c r="F327" t="inlineStr">
        <is>
          <t>SKÅNE LÄN</t>
        </is>
      </c>
      <c r="G327" t="inlineStr">
        <is>
          <t>ÖSTRA GÖINGE</t>
        </is>
      </c>
      <c r="I327" t="n">
        <v>4.2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46230</v>
      </c>
      <c r="F328" t="inlineStr">
        <is>
          <t>SKÅNE LÄN</t>
        </is>
      </c>
      <c r="G328" t="inlineStr">
        <is>
          <t>ÖSTRA GÖINGE</t>
        </is>
      </c>
      <c r="I328" t="n">
        <v>11.9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45273</v>
      </c>
      <c r="E329" s="1" t="n">
        <v>46230</v>
      </c>
      <c r="F329" t="inlineStr">
        <is>
          <t>SKÅNE LÄN</t>
        </is>
      </c>
      <c r="G329" t="inlineStr">
        <is>
          <t>ÖSTRA GÖINGE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45331</v>
      </c>
      <c r="E330" s="1" t="n">
        <v>46230</v>
      </c>
      <c r="F330" t="inlineStr">
        <is>
          <t>SKÅNE LÄN</t>
        </is>
      </c>
      <c r="G330" t="inlineStr">
        <is>
          <t>ÖSTRA GÖINGE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35171-2024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45530</v>
      </c>
      <c r="E331" s="1" t="n">
        <v>46230</v>
      </c>
      <c r="F331" t="inlineStr">
        <is>
          <t>SKÅNE LÄN</t>
        </is>
      </c>
      <c r="G331" t="inlineStr">
        <is>
          <t>ÖSTRA GÖINGE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45090</v>
      </c>
      <c r="E332" s="1" t="n">
        <v>46230</v>
      </c>
      <c r="F332" t="inlineStr">
        <is>
          <t>SKÅNE LÄN</t>
        </is>
      </c>
      <c r="G332" t="inlineStr">
        <is>
          <t>ÖSTRA GÖINGE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44593</v>
      </c>
      <c r="E333" s="1" t="n">
        <v>46230</v>
      </c>
      <c r="F333" t="inlineStr">
        <is>
          <t>SKÅNE LÄN</t>
        </is>
      </c>
      <c r="G333" t="inlineStr">
        <is>
          <t>ÖSTRA GÖINGE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46230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46230</v>
      </c>
      <c r="F335" t="inlineStr">
        <is>
          <t>SKÅNE LÄN</t>
        </is>
      </c>
      <c r="G335" t="inlineStr">
        <is>
          <t>ÖSTRA GÖINGE</t>
        </is>
      </c>
      <c r="H335" t="inlineStr">
        <is>
          <t>Sveaskog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31114-2026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46230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44859</v>
      </c>
      <c r="E337" s="1" t="n">
        <v>46230</v>
      </c>
      <c r="F337" t="inlineStr">
        <is>
          <t>SKÅNE LÄN</t>
        </is>
      </c>
      <c r="G337" t="inlineStr">
        <is>
          <t>ÖSTRA GÖINGE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46230</v>
      </c>
      <c r="F338" t="inlineStr">
        <is>
          <t>SKÅNE LÄN</t>
        </is>
      </c>
      <c r="G338" t="inlineStr">
        <is>
          <t>ÖSTRA GÖINGE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44725-2022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44840</v>
      </c>
      <c r="E339" s="1" t="n">
        <v>46230</v>
      </c>
      <c r="F339" t="inlineStr">
        <is>
          <t>SKÅNE LÄN</t>
        </is>
      </c>
      <c r="G339" t="inlineStr">
        <is>
          <t>ÖSTRA GÖINGE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50896-2021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44460</v>
      </c>
      <c r="E340" s="1" t="n">
        <v>46230</v>
      </c>
      <c r="F340" t="inlineStr">
        <is>
          <t>SKÅNE LÄN</t>
        </is>
      </c>
      <c r="G340" t="inlineStr">
        <is>
          <t>ÖSTRA GÖINGE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50927-2021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44459</v>
      </c>
      <c r="E341" s="1" t="n">
        <v>46230</v>
      </c>
      <c r="F341" t="inlineStr">
        <is>
          <t>SKÅNE LÄN</t>
        </is>
      </c>
      <c r="G341" t="inlineStr">
        <is>
          <t>ÖSTRA GÖINGE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44585</v>
      </c>
      <c r="E342" s="1" t="n">
        <v>46230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46105</v>
      </c>
      <c r="E343" s="1" t="n">
        <v>46230</v>
      </c>
      <c r="F343" t="inlineStr">
        <is>
          <t>SKÅNE LÄN</t>
        </is>
      </c>
      <c r="G343" t="inlineStr">
        <is>
          <t>ÖSTRA GÖINGE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46105</v>
      </c>
      <c r="E344" s="1" t="n">
        <v>46230</v>
      </c>
      <c r="F344" t="inlineStr">
        <is>
          <t>SKÅNE LÄN</t>
        </is>
      </c>
      <c r="G344" t="inlineStr">
        <is>
          <t>ÖSTRA GÖINGE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46076</v>
      </c>
      <c r="E345" s="1" t="n">
        <v>46230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46677-2023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45198</v>
      </c>
      <c r="E346" s="1" t="n">
        <v>46230</v>
      </c>
      <c r="F346" t="inlineStr">
        <is>
          <t>SKÅNE LÄN</t>
        </is>
      </c>
      <c r="G346" t="inlineStr">
        <is>
          <t>ÖSTRA GÖINGE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46176</v>
      </c>
      <c r="E347" s="1" t="n">
        <v>46230</v>
      </c>
      <c r="F347" t="inlineStr">
        <is>
          <t>SKÅNE LÄN</t>
        </is>
      </c>
      <c r="G347" t="inlineStr">
        <is>
          <t>ÖSTRA GÖINGE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45538</v>
      </c>
      <c r="E348" s="1" t="n">
        <v>46230</v>
      </c>
      <c r="F348" t="inlineStr">
        <is>
          <t>SKÅNE LÄN</t>
        </is>
      </c>
      <c r="G348" t="inlineStr">
        <is>
          <t>ÖSTRA GÖINGE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46230</v>
      </c>
      <c r="F349" t="inlineStr">
        <is>
          <t>SKÅNE LÄN</t>
        </is>
      </c>
      <c r="G349" t="inlineStr">
        <is>
          <t>ÖSTRA GÖINGE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46230</v>
      </c>
      <c r="F350" t="inlineStr">
        <is>
          <t>SKÅNE LÄN</t>
        </is>
      </c>
      <c r="G350" t="inlineStr">
        <is>
          <t>ÖSTRA GÖINGE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69387-2021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44531</v>
      </c>
      <c r="E351" s="1" t="n">
        <v>46230</v>
      </c>
      <c r="F351" t="inlineStr">
        <is>
          <t>SKÅNE LÄN</t>
        </is>
      </c>
      <c r="G351" t="inlineStr">
        <is>
          <t>ÖSTRA GÖINGE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45362</v>
      </c>
      <c r="E352" s="1" t="n">
        <v>46230</v>
      </c>
      <c r="F352" t="inlineStr">
        <is>
          <t>SKÅNE LÄN</t>
        </is>
      </c>
      <c r="G352" t="inlineStr">
        <is>
          <t>ÖSTRA GÖINGE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46230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46230</v>
      </c>
      <c r="F354" t="inlineStr">
        <is>
          <t>SKÅNE LÄN</t>
        </is>
      </c>
      <c r="G354" t="inlineStr">
        <is>
          <t>ÖSTRA GÖINGE</t>
        </is>
      </c>
      <c r="I354" t="n">
        <v>34.5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19192-2026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46230</v>
      </c>
      <c r="F355" t="inlineStr">
        <is>
          <t>SKÅNE LÄN</t>
        </is>
      </c>
      <c r="G355" t="inlineStr">
        <is>
          <t>ÖSTRA GÖINGE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46230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46230</v>
      </c>
      <c r="F357" t="inlineStr">
        <is>
          <t>SKÅNE LÄN</t>
        </is>
      </c>
      <c r="G357" t="inlineStr">
        <is>
          <t>ÖSTRA GÖINGE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46230</v>
      </c>
      <c r="F358" t="inlineStr">
        <is>
          <t>SKÅNE LÄN</t>
        </is>
      </c>
      <c r="G358" t="inlineStr">
        <is>
          <t>ÖSTRA GÖINGE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44930</v>
      </c>
      <c r="E359" s="1" t="n">
        <v>46230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19045-2026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46230</v>
      </c>
      <c r="F360" t="inlineStr">
        <is>
          <t>SKÅNE LÄN</t>
        </is>
      </c>
      <c r="G360" t="inlineStr">
        <is>
          <t>ÖSTRA GÖINGE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43447-2024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46230</v>
      </c>
      <c r="F361" t="inlineStr">
        <is>
          <t>SKÅNE LÄN</t>
        </is>
      </c>
      <c r="G361" t="inlineStr">
        <is>
          <t>ÖSTRA GÖINGE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46230</v>
      </c>
      <c r="F362" t="inlineStr">
        <is>
          <t>SKÅNE LÄN</t>
        </is>
      </c>
      <c r="G362" t="inlineStr">
        <is>
          <t>ÖSTRA GÖINGE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19051-2026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46132</v>
      </c>
      <c r="E363" s="1" t="n">
        <v>46230</v>
      </c>
      <c r="F363" t="inlineStr">
        <is>
          <t>SKÅNE LÄN</t>
        </is>
      </c>
      <c r="G363" t="inlineStr">
        <is>
          <t>ÖSTRA GÖINGE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26465-2026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46230</v>
      </c>
      <c r="F364" t="inlineStr">
        <is>
          <t>SKÅNE LÄN</t>
        </is>
      </c>
      <c r="G364" t="inlineStr">
        <is>
          <t>ÖSTRA GÖINGE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46230</v>
      </c>
      <c r="F365" t="inlineStr">
        <is>
          <t>SKÅNE LÄN</t>
        </is>
      </c>
      <c r="G365" t="inlineStr">
        <is>
          <t>ÖSTRA GÖINGE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19236-2026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46132</v>
      </c>
      <c r="E366" s="1" t="n">
        <v>46230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46230</v>
      </c>
      <c r="F367" t="inlineStr">
        <is>
          <t>SKÅNE LÄN</t>
        </is>
      </c>
      <c r="G367" t="inlineStr">
        <is>
          <t>ÖSTRA GÖINGE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46230</v>
      </c>
      <c r="F368" t="inlineStr">
        <is>
          <t>SKÅNE LÄN</t>
        </is>
      </c>
      <c r="G368" t="inlineStr">
        <is>
          <t>ÖSTRA GÖINGE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46230</v>
      </c>
      <c r="F369" t="inlineStr">
        <is>
          <t>SKÅNE LÄN</t>
        </is>
      </c>
      <c r="G369" t="inlineStr">
        <is>
          <t>ÖSTRA GÖINGE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10497-2022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44623</v>
      </c>
      <c r="E370" s="1" t="n">
        <v>46230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46230</v>
      </c>
      <c r="F371" t="inlineStr">
        <is>
          <t>SKÅNE LÄN</t>
        </is>
      </c>
      <c r="G371" t="inlineStr">
        <is>
          <t>ÖSTRA GÖINGE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11635-2025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46230</v>
      </c>
      <c r="F372" t="inlineStr">
        <is>
          <t>SKÅNE LÄN</t>
        </is>
      </c>
      <c r="G372" t="inlineStr">
        <is>
          <t>ÖSTRA GÖINGE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45205</v>
      </c>
      <c r="E373" s="1" t="n">
        <v>46230</v>
      </c>
      <c r="F373" t="inlineStr">
        <is>
          <t>SKÅNE LÄN</t>
        </is>
      </c>
      <c r="G373" t="inlineStr">
        <is>
          <t>ÖSTRA GÖINGE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30140-2024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45489</v>
      </c>
      <c r="E374" s="1" t="n">
        <v>46230</v>
      </c>
      <c r="F374" t="inlineStr">
        <is>
          <t>SKÅNE LÄN</t>
        </is>
      </c>
      <c r="G374" t="inlineStr">
        <is>
          <t>ÖSTRA GÖINGE</t>
        </is>
      </c>
      <c r="I374" t="n">
        <v>8.1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46230</v>
      </c>
      <c r="F375" t="inlineStr">
        <is>
          <t>SKÅNE LÄN</t>
        </is>
      </c>
      <c r="G375" t="inlineStr">
        <is>
          <t>ÖSTRA GÖINGE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45373</v>
      </c>
      <c r="E376" s="1" t="n">
        <v>46230</v>
      </c>
      <c r="F376" t="inlineStr">
        <is>
          <t>SKÅNE LÄN</t>
        </is>
      </c>
      <c r="G376" t="inlineStr">
        <is>
          <t>ÖSTRA GÖINGE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27322-2022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44742</v>
      </c>
      <c r="E377" s="1" t="n">
        <v>46230</v>
      </c>
      <c r="F377" t="inlineStr">
        <is>
          <t>SKÅNE LÄN</t>
        </is>
      </c>
      <c r="G377" t="inlineStr">
        <is>
          <t>ÖSTRA GÖINGE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46230</v>
      </c>
      <c r="F378" t="inlineStr">
        <is>
          <t>SKÅNE LÄN</t>
        </is>
      </c>
      <c r="G378" t="inlineStr">
        <is>
          <t>ÖSTRA GÖINGE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55489-2022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44887</v>
      </c>
      <c r="E379" s="1" t="n">
        <v>46230</v>
      </c>
      <c r="F379" t="inlineStr">
        <is>
          <t>SKÅNE LÄN</t>
        </is>
      </c>
      <c r="G379" t="inlineStr">
        <is>
          <t>ÖSTRA GÖINGE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17856-2025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46230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46230</v>
      </c>
      <c r="F381" t="inlineStr">
        <is>
          <t>SKÅNE LÄN</t>
        </is>
      </c>
      <c r="G381" t="inlineStr">
        <is>
          <t>ÖSTRA GÖINGE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37554-2024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45541</v>
      </c>
      <c r="E382" s="1" t="n">
        <v>46230</v>
      </c>
      <c r="F382" t="inlineStr">
        <is>
          <t>SKÅNE LÄN</t>
        </is>
      </c>
      <c r="G382" t="inlineStr">
        <is>
          <t>ÖSTRA GÖINGE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46230</v>
      </c>
      <c r="F383" t="inlineStr">
        <is>
          <t>SKÅNE LÄN</t>
        </is>
      </c>
      <c r="G383" t="inlineStr">
        <is>
          <t>ÖSTRA GÖINGE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50370-2024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45601</v>
      </c>
      <c r="E384" s="1" t="n">
        <v>46230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52930-2021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44467</v>
      </c>
      <c r="E385" s="1" t="n">
        <v>46230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55716-2024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45622</v>
      </c>
      <c r="E386" s="1" t="n">
        <v>46230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44958</v>
      </c>
      <c r="E387" s="1" t="n">
        <v>46230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44958</v>
      </c>
      <c r="E388" s="1" t="n">
        <v>46230</v>
      </c>
      <c r="F388" t="inlineStr">
        <is>
          <t>SKÅNE LÄN</t>
        </is>
      </c>
      <c r="G388" t="inlineStr">
        <is>
          <t>ÖSTRA GÖINGE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45574</v>
      </c>
      <c r="E389" s="1" t="n">
        <v>46230</v>
      </c>
      <c r="F389" t="inlineStr">
        <is>
          <t>SKÅNE LÄN</t>
        </is>
      </c>
      <c r="G389" t="inlineStr">
        <is>
          <t>ÖSTRA GÖINGE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23402-2023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46230</v>
      </c>
      <c r="F390" t="inlineStr">
        <is>
          <t>SKÅNE LÄN</t>
        </is>
      </c>
      <c r="G390" t="inlineStr">
        <is>
          <t>ÖSTRA GÖINGE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23403-2023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45076</v>
      </c>
      <c r="E391" s="1" t="n">
        <v>46230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44796</v>
      </c>
      <c r="E392" s="1" t="n">
        <v>46230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31627-2023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45117</v>
      </c>
      <c r="E393" s="1" t="n">
        <v>46230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46230</v>
      </c>
      <c r="F394" t="inlineStr">
        <is>
          <t>SKÅNE LÄN</t>
        </is>
      </c>
      <c r="G394" t="inlineStr">
        <is>
          <t>ÖSTRA GÖINGE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49228-2023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45210</v>
      </c>
      <c r="E395" s="1" t="n">
        <v>46230</v>
      </c>
      <c r="F395" t="inlineStr">
        <is>
          <t>SKÅNE LÄN</t>
        </is>
      </c>
      <c r="G395" t="inlineStr">
        <is>
          <t>ÖSTRA GÖINGE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45774</v>
      </c>
      <c r="E396" s="1" t="n">
        <v>46230</v>
      </c>
      <c r="F396" t="inlineStr">
        <is>
          <t>SKÅNE LÄN</t>
        </is>
      </c>
      <c r="G396" t="inlineStr">
        <is>
          <t>ÖSTRA GÖINGE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36963-2024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46230</v>
      </c>
      <c r="F397" t="inlineStr">
        <is>
          <t>SKÅNE LÄN</t>
        </is>
      </c>
      <c r="G397" t="inlineStr">
        <is>
          <t>ÖSTRA GÖINGE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46230</v>
      </c>
      <c r="F398" t="inlineStr">
        <is>
          <t>SKÅNE LÄN</t>
        </is>
      </c>
      <c r="G398" t="inlineStr">
        <is>
          <t>ÖSTRA GÖINGE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37575-2024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46230</v>
      </c>
      <c r="F399" t="inlineStr">
        <is>
          <t>SKÅNE LÄN</t>
        </is>
      </c>
      <c r="G399" t="inlineStr">
        <is>
          <t>ÖSTRA GÖINGE</t>
        </is>
      </c>
      <c r="I399" t="n">
        <v>8.6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45541</v>
      </c>
      <c r="E400" s="1" t="n">
        <v>46230</v>
      </c>
      <c r="F400" t="inlineStr">
        <is>
          <t>SKÅNE LÄN</t>
        </is>
      </c>
      <c r="G400" t="inlineStr">
        <is>
          <t>ÖSTRA GÖINGE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46230</v>
      </c>
      <c r="F401" t="inlineStr">
        <is>
          <t>SKÅNE LÄN</t>
        </is>
      </c>
      <c r="G401" t="inlineStr">
        <is>
          <t>ÖSTRA GÖINGE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34256-2023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45138</v>
      </c>
      <c r="E402" s="1" t="n">
        <v>46230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45076</v>
      </c>
      <c r="E403" s="1" t="n">
        <v>46230</v>
      </c>
      <c r="F403" t="inlineStr">
        <is>
          <t>SKÅNE LÄN</t>
        </is>
      </c>
      <c r="G403" t="inlineStr">
        <is>
          <t>ÖSTRA GÖINGE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45765</v>
      </c>
      <c r="E404" s="1" t="n">
        <v>46230</v>
      </c>
      <c r="F404" t="inlineStr">
        <is>
          <t>SKÅNE LÄN</t>
        </is>
      </c>
      <c r="G404" t="inlineStr">
        <is>
          <t>ÖSTRA GÖINGE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37588-2024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46230</v>
      </c>
      <c r="F405" t="inlineStr">
        <is>
          <t>SKÅNE LÄN</t>
        </is>
      </c>
      <c r="G405" t="inlineStr">
        <is>
          <t>ÖSTRA GÖINGE</t>
        </is>
      </c>
      <c r="I405" t="n">
        <v>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37593-2024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45541</v>
      </c>
      <c r="E406" s="1" t="n">
        <v>46230</v>
      </c>
      <c r="F406" t="inlineStr">
        <is>
          <t>SKÅNE LÄN</t>
        </is>
      </c>
      <c r="G406" t="inlineStr">
        <is>
          <t>ÖSTRA GÖINGE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46230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45316</v>
      </c>
      <c r="E408" s="1" t="n">
        <v>46230</v>
      </c>
      <c r="F408" t="inlineStr">
        <is>
          <t>SKÅNE LÄN</t>
        </is>
      </c>
      <c r="G408" t="inlineStr">
        <is>
          <t>ÖSTRA GÖINGE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45321</v>
      </c>
      <c r="E409" s="1" t="n">
        <v>46230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45147</v>
      </c>
      <c r="E410" s="1" t="n">
        <v>46230</v>
      </c>
      <c r="F410" t="inlineStr">
        <is>
          <t>SKÅNE LÄN</t>
        </is>
      </c>
      <c r="G410" t="inlineStr">
        <is>
          <t>ÖSTRA GÖINGE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44810</v>
      </c>
      <c r="E411" s="1" t="n">
        <v>46230</v>
      </c>
      <c r="F411" t="inlineStr">
        <is>
          <t>SKÅNE LÄN</t>
        </is>
      </c>
      <c r="G411" t="inlineStr">
        <is>
          <t>ÖSTRA GÖINGE</t>
        </is>
      </c>
      <c r="H411" t="inlineStr">
        <is>
          <t>Kyrkan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44946</v>
      </c>
      <c r="E412" s="1" t="n">
        <v>46230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44764-2021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44438</v>
      </c>
      <c r="E413" s="1" t="n">
        <v>46230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46230</v>
      </c>
      <c r="F414" t="inlineStr">
        <is>
          <t>SKÅNE LÄN</t>
        </is>
      </c>
      <c r="G414" t="inlineStr">
        <is>
          <t>ÖSTRA GÖINGE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45267</v>
      </c>
      <c r="E415" s="1" t="n">
        <v>46230</v>
      </c>
      <c r="F415" t="inlineStr">
        <is>
          <t>SKÅNE LÄN</t>
        </is>
      </c>
      <c r="G415" t="inlineStr">
        <is>
          <t>ÖSTRA GÖINGE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44992</v>
      </c>
      <c r="E416" s="1" t="n">
        <v>46230</v>
      </c>
      <c r="F416" t="inlineStr">
        <is>
          <t>SKÅNE LÄN</t>
        </is>
      </c>
      <c r="G416" t="inlineStr">
        <is>
          <t>ÖSTRA GÖINGE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47591-2023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45203</v>
      </c>
      <c r="E417" s="1" t="n">
        <v>46230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46230</v>
      </c>
      <c r="F418" t="inlineStr">
        <is>
          <t>SKÅNE LÄN</t>
        </is>
      </c>
      <c r="G418" t="inlineStr">
        <is>
          <t>ÖSTRA GÖINGE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32514-2023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45121</v>
      </c>
      <c r="E419" s="1" t="n">
        <v>46230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44489</v>
      </c>
      <c r="E420" s="1" t="n">
        <v>46230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46230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45564</v>
      </c>
      <c r="E422" s="1" t="n">
        <v>46230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46230</v>
      </c>
      <c r="F423" t="inlineStr">
        <is>
          <t>SKÅNE LÄN</t>
        </is>
      </c>
      <c r="G423" t="inlineStr">
        <is>
          <t>ÖSTRA GÖINGE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45699</v>
      </c>
      <c r="E424" s="1" t="n">
        <v>46230</v>
      </c>
      <c r="F424" t="inlineStr">
        <is>
          <t>SKÅNE LÄN</t>
        </is>
      </c>
      <c r="G424" t="inlineStr">
        <is>
          <t>ÖSTRA GÖINGE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45686</v>
      </c>
      <c r="E425" s="1" t="n">
        <v>46230</v>
      </c>
      <c r="F425" t="inlineStr">
        <is>
          <t>SKÅNE LÄN</t>
        </is>
      </c>
      <c r="G425" t="inlineStr">
        <is>
          <t>ÖSTRA GÖINGE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60504-2024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45643</v>
      </c>
      <c r="E426" s="1" t="n">
        <v>46230</v>
      </c>
      <c r="F426" t="inlineStr">
        <is>
          <t>SKÅNE LÄN</t>
        </is>
      </c>
      <c r="G426" t="inlineStr">
        <is>
          <t>ÖSTRA GÖINGE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45797</v>
      </c>
      <c r="E427" s="1" t="n">
        <v>46230</v>
      </c>
      <c r="F427" t="inlineStr">
        <is>
          <t>SKÅNE LÄN</t>
        </is>
      </c>
      <c r="G427" t="inlineStr">
        <is>
          <t>ÖSTRA GÖINGE</t>
        </is>
      </c>
      <c r="H427" t="inlineStr">
        <is>
          <t>Sveaskog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6753-2025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45700</v>
      </c>
      <c r="E428" s="1" t="n">
        <v>46230</v>
      </c>
      <c r="F428" t="inlineStr">
        <is>
          <t>SKÅNE LÄN</t>
        </is>
      </c>
      <c r="G428" t="inlineStr">
        <is>
          <t>ÖSTRA GÖINGE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37978-2024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46230</v>
      </c>
      <c r="F429" t="inlineStr">
        <is>
          <t>SKÅNE LÄN</t>
        </is>
      </c>
      <c r="G429" t="inlineStr">
        <is>
          <t>ÖSTRA GÖINGE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39934-2024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45553</v>
      </c>
      <c r="E430" s="1" t="n">
        <v>46230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45615</v>
      </c>
      <c r="E431" s="1" t="n">
        <v>46230</v>
      </c>
      <c r="F431" t="inlineStr">
        <is>
          <t>SKÅNE LÄN</t>
        </is>
      </c>
      <c r="G431" t="inlineStr">
        <is>
          <t>ÖSTRA GÖINGE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45820</v>
      </c>
      <c r="E432" s="1" t="n">
        <v>46230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45821</v>
      </c>
      <c r="E433" s="1" t="n">
        <v>46230</v>
      </c>
      <c r="F433" t="inlineStr">
        <is>
          <t>SKÅNE LÄN</t>
        </is>
      </c>
      <c r="G433" t="inlineStr">
        <is>
          <t>ÖSTRA GÖINGE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45826</v>
      </c>
      <c r="E434" s="1" t="n">
        <v>46230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46230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46230</v>
      </c>
      <c r="F436" t="inlineStr">
        <is>
          <t>SKÅNE LÄN</t>
        </is>
      </c>
      <c r="G436" t="inlineStr">
        <is>
          <t>ÖSTRA GÖINGE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31847-2025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46230</v>
      </c>
      <c r="F437" t="inlineStr">
        <is>
          <t>SKÅNE LÄN</t>
        </is>
      </c>
      <c r="G437" t="inlineStr">
        <is>
          <t>ÖSTRA GÖINGE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45834</v>
      </c>
      <c r="E438" s="1" t="n">
        <v>46230</v>
      </c>
      <c r="F438" t="inlineStr">
        <is>
          <t>SKÅNE LÄN</t>
        </is>
      </c>
      <c r="G438" t="inlineStr">
        <is>
          <t>ÖSTRA GÖINGE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45834</v>
      </c>
      <c r="E439" s="1" t="n">
        <v>46230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34175-2025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45835</v>
      </c>
      <c r="E440" s="1" t="n">
        <v>46230</v>
      </c>
      <c r="F440" t="inlineStr">
        <is>
          <t>SKÅNE LÄN</t>
        </is>
      </c>
      <c r="G440" t="inlineStr">
        <is>
          <t>ÖSTRA GÖINGE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46230</v>
      </c>
      <c r="F441" t="inlineStr">
        <is>
          <t>SKÅNE LÄN</t>
        </is>
      </c>
      <c r="G441" t="inlineStr">
        <is>
          <t>ÖSTRA GÖINGE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34687-2025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45848</v>
      </c>
      <c r="E442" s="1" t="n">
        <v>46230</v>
      </c>
      <c r="F442" t="inlineStr">
        <is>
          <t>SKÅNE LÄN</t>
        </is>
      </c>
      <c r="G442" t="inlineStr">
        <is>
          <t>ÖSTRA GÖINGE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45848</v>
      </c>
      <c r="E443" s="1" t="n">
        <v>46230</v>
      </c>
      <c r="F443" t="inlineStr">
        <is>
          <t>SKÅNE LÄN</t>
        </is>
      </c>
      <c r="G443" t="inlineStr">
        <is>
          <t>ÖSTRA GÖINGE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58944-2024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46230</v>
      </c>
      <c r="F444" t="inlineStr">
        <is>
          <t>SKÅNE LÄN</t>
        </is>
      </c>
      <c r="G444" t="inlineStr">
        <is>
          <t>ÖSTRA GÖINGE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46230</v>
      </c>
      <c r="F445" t="inlineStr">
        <is>
          <t>SKÅNE LÄN</t>
        </is>
      </c>
      <c r="G445" t="inlineStr">
        <is>
          <t>ÖSTRA GÖINGE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35547-2023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45146</v>
      </c>
      <c r="E446" s="1" t="n">
        <v>46230</v>
      </c>
      <c r="F446" t="inlineStr">
        <is>
          <t>SKÅNE LÄN</t>
        </is>
      </c>
      <c r="G446" t="inlineStr">
        <is>
          <t>ÖSTRA GÖINGE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45758</v>
      </c>
      <c r="E447" s="1" t="n">
        <v>46230</v>
      </c>
      <c r="F447" t="inlineStr">
        <is>
          <t>SKÅNE LÄN</t>
        </is>
      </c>
      <c r="G447" t="inlineStr">
        <is>
          <t>ÖSTRA GÖINGE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90-2024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45301</v>
      </c>
      <c r="E448" s="1" t="n">
        <v>46230</v>
      </c>
      <c r="F448" t="inlineStr">
        <is>
          <t>SKÅNE LÄN</t>
        </is>
      </c>
      <c r="G448" t="inlineStr">
        <is>
          <t>ÖSTRA GÖINGE</t>
        </is>
      </c>
      <c r="I448" t="n">
        <v>53.6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2502-2023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45124</v>
      </c>
      <c r="E449" s="1" t="n">
        <v>46230</v>
      </c>
      <c r="F449" t="inlineStr">
        <is>
          <t>SKÅNE LÄN</t>
        </is>
      </c>
      <c r="G449" t="inlineStr">
        <is>
          <t>ÖSTRA GÖINGE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2639-2022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44700</v>
      </c>
      <c r="E450" s="1" t="n">
        <v>46230</v>
      </c>
      <c r="F450" t="inlineStr">
        <is>
          <t>SKÅNE LÄN</t>
        </is>
      </c>
      <c r="G450" t="inlineStr">
        <is>
          <t>ÖSTRA GÖINGE</t>
        </is>
      </c>
      <c r="I450" t="n">
        <v>0.1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376-2024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45330</v>
      </c>
      <c r="E451" s="1" t="n">
        <v>46230</v>
      </c>
      <c r="F451" t="inlineStr">
        <is>
          <t>SKÅNE LÄN</t>
        </is>
      </c>
      <c r="G451" t="inlineStr">
        <is>
          <t>ÖSTRA GÖINGE</t>
        </is>
      </c>
      <c r="I451" t="n">
        <v>43.3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1043-2022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44613</v>
      </c>
      <c r="E452" s="1" t="n">
        <v>46230</v>
      </c>
      <c r="F452" t="inlineStr">
        <is>
          <t>SKÅNE LÄN</t>
        </is>
      </c>
      <c r="G452" t="inlineStr">
        <is>
          <t>ÖSTRA GÖINGE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371-2024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45330</v>
      </c>
      <c r="E453" s="1" t="n">
        <v>46230</v>
      </c>
      <c r="F453" t="inlineStr">
        <is>
          <t>SKÅNE LÄN</t>
        </is>
      </c>
      <c r="G453" t="inlineStr">
        <is>
          <t>ÖSTRA GÖINGE</t>
        </is>
      </c>
      <c r="I453" t="n">
        <v>19.2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642-2023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44973</v>
      </c>
      <c r="E454" s="1" t="n">
        <v>46230</v>
      </c>
      <c r="F454" t="inlineStr">
        <is>
          <t>SKÅNE LÄN</t>
        </is>
      </c>
      <c r="G454" t="inlineStr">
        <is>
          <t>ÖSTRA GÖINGE</t>
        </is>
      </c>
      <c r="I454" t="n">
        <v>20.4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573-2024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46230</v>
      </c>
      <c r="F455" t="inlineStr">
        <is>
          <t>SKÅNE LÄN</t>
        </is>
      </c>
      <c r="G455" t="inlineStr">
        <is>
          <t>ÖSTRA GÖINGE</t>
        </is>
      </c>
      <c r="I455" t="n">
        <v>24.3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3997-2024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45569</v>
      </c>
      <c r="E456" s="1" t="n">
        <v>46230</v>
      </c>
      <c r="F456" t="inlineStr">
        <is>
          <t>SKÅNE LÄN</t>
        </is>
      </c>
      <c r="G456" t="inlineStr">
        <is>
          <t>ÖSTRA GÖINGE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568-2024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46230</v>
      </c>
      <c r="F457" t="inlineStr">
        <is>
          <t>SKÅNE LÄN</t>
        </is>
      </c>
      <c r="G457" t="inlineStr">
        <is>
          <t>ÖSTRA GÖINGE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2600-2022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46230</v>
      </c>
      <c r="F458" t="inlineStr">
        <is>
          <t>SKÅNE LÄN</t>
        </is>
      </c>
      <c r="G458" t="inlineStr">
        <is>
          <t>ÖSTRA GÖINGE</t>
        </is>
      </c>
      <c r="I458" t="n">
        <v>12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569-2024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46230</v>
      </c>
      <c r="F459" t="inlineStr">
        <is>
          <t>SKÅNE LÄN</t>
        </is>
      </c>
      <c r="G459" t="inlineStr">
        <is>
          <t>ÖSTRA GÖINGE</t>
        </is>
      </c>
      <c r="I459" t="n">
        <v>35.3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2465-2024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45470</v>
      </c>
      <c r="E460" s="1" t="n">
        <v>46230</v>
      </c>
      <c r="F460" t="inlineStr">
        <is>
          <t>SKÅNE LÄN</t>
        </is>
      </c>
      <c r="G460" t="inlineStr">
        <is>
          <t>ÖSTRA GÖINGE</t>
        </is>
      </c>
      <c r="I460" t="n">
        <v>36.3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3114-2023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45182</v>
      </c>
      <c r="E461" s="1" t="n">
        <v>46230</v>
      </c>
      <c r="F461" t="inlineStr">
        <is>
          <t>SKÅNE LÄN</t>
        </is>
      </c>
      <c r="G461" t="inlineStr">
        <is>
          <t>ÖSTRA GÖINGE</t>
        </is>
      </c>
      <c r="I461" t="n">
        <v>17.1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2602-2022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44698</v>
      </c>
      <c r="E462" s="1" t="n">
        <v>46230</v>
      </c>
      <c r="F462" t="inlineStr">
        <is>
          <t>SKÅNE LÄN</t>
        </is>
      </c>
      <c r="G462" t="inlineStr">
        <is>
          <t>ÖSTRA GÖINGE</t>
        </is>
      </c>
      <c r="I462" t="n">
        <v>18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46230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46230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46230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2143-2022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44676</v>
      </c>
      <c r="E466" s="1" t="n">
        <v>46230</v>
      </c>
      <c r="F466" t="inlineStr">
        <is>
          <t>SKÅNE LÄN</t>
        </is>
      </c>
      <c r="G466" t="inlineStr">
        <is>
          <t>ÖSTRA GÖINGE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444-2022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46230</v>
      </c>
      <c r="F467" t="inlineStr">
        <is>
          <t>SKÅNE LÄN</t>
        </is>
      </c>
      <c r="G467" t="inlineStr">
        <is>
          <t>ÖSTRA GÖINGE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46230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46230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46230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46230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450-2022</t>
        </is>
      </c>
      <c r="B472" t="inlineStr">
        <is>
          <t>samrådsanmälan</t>
        </is>
      </c>
      <c r="C472" t="inlineStr">
        <is>
          <t>Åtgärd i nyckelbiotop</t>
        </is>
      </c>
      <c r="D472" s="1" t="n">
        <v>44586</v>
      </c>
      <c r="E472" s="1" t="n">
        <v>46230</v>
      </c>
      <c r="F472" t="inlineStr">
        <is>
          <t>SKÅNE LÄN</t>
        </is>
      </c>
      <c r="G472" t="inlineStr">
        <is>
          <t>ÖSTRA GÖINGE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46230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46230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46230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46230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46230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46230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46230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46230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46230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46230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46230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46230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46230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46230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46230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46230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46230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2026-07-27T01:48:57Z</dcterms:created>
  <dcterms:modified xmlns:dcterms="http://purl.org/dc/terms/" xmlns:xsi="http://www.w3.org/2001/XMLSchema-instance" xsi:type="dcterms:W3CDTF">2026-07-27T01:48:58Z</dcterms:modified>
</cp:coreProperties>
</file>