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46273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46273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46273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46273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t="n">
        <v>0</v>
      </c>
      <c r="V14" s="2" t="inlineStr">
        <is>
          <t>Fällmossa
Klippfrullania
Västlig hakmossa</t>
        </is>
      </c>
      <c r="W14">
        <f>HYPERLINK("https://klasma.github.io/Logging_1256/artfynd/S 2860-2024 artfynd.xlsx", "S 2860-2024")</f>
        <v/>
      </c>
      <c r="X14">
        <f>HYPERLINK("https://klasma.github.io/Logging_1256/kartor/S 2860-2024 karta.png", "S 2860-2024")</f>
        <v/>
      </c>
      <c r="Y14">
        <f>HYPERLINK("https://klasma.github.io/Logging_1256/kartor_geotiff/S 2860-2024 georefererad karta.tif", "S 2860-2024")</f>
        <v/>
      </c>
      <c r="AA14">
        <f>HYPERLINK("https://klasma.github.io/Logging_1256/klagomål/S 2860-2024 FSC-klagomål.docx", "S 2860-2024")</f>
        <v/>
      </c>
      <c r="AB14">
        <f>HYPERLINK("https://klasma.github.io/Logging_1256/klagomålsmail/S 2860-2024 FSC-klagomål mail.docx", "S 2860-2024")</f>
        <v/>
      </c>
      <c r="AC14">
        <f>HYPERLINK("https://klasma.github.io/Logging_1256/tillsyn/S 2860-2024 tillsynsbegäran.docx", "S 2860-2024")</f>
        <v/>
      </c>
      <c r="AD14">
        <f>HYPERLINK("https://klasma.github.io/Logging_1256/tillsynsmail/S 2860-2024 tillsynsbegäran mail.docx", "S 2860-2024")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46273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Bokvårtlav
Havstulpanlav
Västlig hakmossa</t>
        </is>
      </c>
      <c r="W15">
        <f>HYPERLINK("https://klasma.github.io/Logging_1256/artfynd/S 378-2024 artfynd.xlsx", "S 378-2024")</f>
        <v/>
      </c>
      <c r="X15">
        <f>HYPERLINK("https://klasma.github.io/Logging_1256/kartor/S 378-2024 karta.png", "S 378-2024")</f>
        <v/>
      </c>
      <c r="Y15">
        <f>HYPERLINK("https://klasma.github.io/Logging_1256/kartor_geotiff/S 378-2024 georefererad karta.tif", "S 378-2024")</f>
        <v/>
      </c>
      <c r="AA15">
        <f>HYPERLINK("https://klasma.github.io/Logging_1256/klagomål/S 378-2024 FSC-klagomål.docx", "S 378-2024")</f>
        <v/>
      </c>
      <c r="AB15">
        <f>HYPERLINK("https://klasma.github.io/Logging_1256/klagomålsmail/S 378-2024 FSC-klagomål mail.docx", "S 378-2024")</f>
        <v/>
      </c>
      <c r="AC15">
        <f>HYPERLINK("https://klasma.github.io/Logging_1256/tillsyn/S 378-2024 tillsynsbegäran.docx", "S 378-2024")</f>
        <v/>
      </c>
      <c r="AD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46273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Barkkornlav
Fällmossa
Rostfläck</t>
        </is>
      </c>
      <c r="W16">
        <f>HYPERLINK("https://klasma.github.io/Logging_1256/artfynd/S 2831-2023 artfynd.xlsx", "S 2831-2023")</f>
        <v/>
      </c>
      <c r="X16">
        <f>HYPERLINK("https://klasma.github.io/Logging_1256/kartor/S 2831-2023 karta.png", "S 2831-2023")</f>
        <v/>
      </c>
      <c r="Y16">
        <f>HYPERLINK("https://klasma.github.io/Logging_1256/kartor_geotiff/S 2831-2023 georefererad karta.tif", "S 2831-2023")</f>
        <v/>
      </c>
      <c r="AA16">
        <f>HYPERLINK("https://klasma.github.io/Logging_1256/klagomål/S 2831-2023 FSC-klagomål.docx", "S 2831-2023")</f>
        <v/>
      </c>
      <c r="AB16">
        <f>HYPERLINK("https://klasma.github.io/Logging_1256/klagomålsmail/S 2831-2023 FSC-klagomål mail.docx", "S 2831-2023")</f>
        <v/>
      </c>
      <c r="AC16">
        <f>HYPERLINK("https://klasma.github.io/Logging_1256/tillsyn/S 2831-2023 tillsynsbegäran.docx", "S 2831-2023")</f>
        <v/>
      </c>
      <c r="AD16">
        <f>HYPERLINK("https://klasma.github.io/Logging_1256/tillsynsmail/S 2831-2023 tillsynsbegäran mail.docx", "S 2831-2023")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46273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46273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37585-2024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46273</v>
      </c>
      <c r="F19" t="inlineStr">
        <is>
          <t>SKÅNE LÄN</t>
        </is>
      </c>
      <c r="G19" t="inlineStr">
        <is>
          <t>ÖSTRA GÖINGE</t>
        </is>
      </c>
      <c r="I19" t="n">
        <v>22.7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Gullklöver
Fläcknycklar</t>
        </is>
      </c>
      <c r="W19">
        <f>HYPERLINK("https://klasma.github.io/Logging_1256/artfynd/A 37585-2024 artfynd.xlsx", "A 37585-2024")</f>
        <v/>
      </c>
      <c r="X19">
        <f>HYPERLINK("https://klasma.github.io/Logging_1256/kartor/A 37585-2024 karta.png", "A 37585-2024")</f>
        <v/>
      </c>
      <c r="Y19">
        <f>HYPERLINK("https://klasma.github.io/Logging_1256/kartor_geotiff/A 37585-2024 georefererad karta.tif", "A 37585-2024")</f>
        <v/>
      </c>
      <c r="AA19">
        <f>HYPERLINK("https://klasma.github.io/Logging_1256/klagomål/A 37585-2024 FSC-klagomål.docx", "A 37585-2024")</f>
        <v/>
      </c>
      <c r="AB19">
        <f>HYPERLINK("https://klasma.github.io/Logging_1256/klagomålsmail/A 37585-2024 FSC-klagomål mail.docx", "A 37585-2024")</f>
        <v/>
      </c>
      <c r="AC19">
        <f>HYPERLINK("https://klasma.github.io/Logging_1256/tillsyn/A 37585-2024 tillsynsbegäran.docx", "A 37585-2024")</f>
        <v/>
      </c>
      <c r="AD19">
        <f>HYPERLINK("https://klasma.github.io/Logging_1256/tillsynsmail/A 37585-2024 tillsynsbegäran mail.docx", "A 37585-2024")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46273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46273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46273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46273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46273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46273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46273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62142-2023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45267</v>
      </c>
      <c r="E27" s="1" t="n">
        <v>46273</v>
      </c>
      <c r="F27" t="inlineStr">
        <is>
          <t>SKÅNE LÄN</t>
        </is>
      </c>
      <c r="G27" t="inlineStr">
        <is>
          <t>ÖSTRA GÖINGE</t>
        </is>
      </c>
      <c r="I27" t="n">
        <v>8.1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62142-2023 artfynd.xlsx", "A 62142-2023")</f>
        <v/>
      </c>
      <c r="X27">
        <f>HYPERLINK("https://klasma.github.io/Logging_1256/kartor/A 62142-2023 karta.png", "A 62142-2023")</f>
        <v/>
      </c>
      <c r="Y27">
        <f>HYPERLINK("https://klasma.github.io/Logging_1256/kartor_geotiff/A 62142-2023 georefererad karta.tif", "A 62142-2023")</f>
        <v/>
      </c>
      <c r="AA27">
        <f>HYPERLINK("https://klasma.github.io/Logging_1256/klagomål/A 62142-2023 FSC-klagomål.docx", "A 62142-2023")</f>
        <v/>
      </c>
      <c r="AB27">
        <f>HYPERLINK("https://klasma.github.io/Logging_1256/klagomålsmail/A 62142-2023 FSC-klagomål mail.docx", "A 62142-2023")</f>
        <v/>
      </c>
      <c r="AC27">
        <f>HYPERLINK("https://klasma.github.io/Logging_1256/tillsyn/A 62142-2023 tillsynsbegäran.docx", "A 62142-2023")</f>
        <v/>
      </c>
      <c r="AD27">
        <f>HYPERLINK("https://klasma.github.io/Logging_1256/tillsynsmail/A 62142-2023 tillsynsbegäran mail.docx", "A 62142-2023")</f>
        <v/>
      </c>
      <c r="AE27">
        <f>HYPERLINK("https://klasma.github.io/Logging_1256/fåglar/A 62142-2023 prioriterade fågelarter.docx", "A 62142-2023")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46273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46273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46273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46273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46273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45359-2023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46273</v>
      </c>
      <c r="F41" t="inlineStr">
        <is>
          <t>SKÅNE LÄN</t>
        </is>
      </c>
      <c r="G41" t="inlineStr">
        <is>
          <t>ÖSTRA GÖINGE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HYPERLINK("https://klasma.github.io/Logging_1256/artfynd/A 45359-2023 artfynd.xlsx", "A 45359-2023")</f>
        <v/>
      </c>
      <c r="X41">
        <f>HYPERLINK("https://klasma.github.io/Logging_1256/kartor/A 45359-2023 karta.png", "A 45359-2023")</f>
        <v/>
      </c>
      <c r="Y41">
        <f>HYPERLINK("https://klasma.github.io/Logging_1256/kartor_geotiff/A 45359-2023 georefererad karta.tif", "A 45359-2023")</f>
        <v/>
      </c>
      <c r="AA41">
        <f>HYPERLINK("https://klasma.github.io/Logging_1256/klagomål/A 45359-2023 FSC-klagomål.docx", "A 45359-2023")</f>
        <v/>
      </c>
      <c r="AB41">
        <f>HYPERLINK("https://klasma.github.io/Logging_1256/klagomålsmail/A 45359-2023 FSC-klagomål mail.docx", "A 45359-2023")</f>
        <v/>
      </c>
      <c r="AC41">
        <f>HYPERLINK("https://klasma.github.io/Logging_1256/tillsyn/A 45359-2023 tillsynsbegäran.docx", "A 45359-2023")</f>
        <v/>
      </c>
      <c r="AD41">
        <f>HYPERLINK("https://klasma.github.io/Logging_1256/tillsynsmail/A 45359-2023 tillsynsbegäran mail.docx", "A 45359-2023")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46273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6152-2024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45337</v>
      </c>
      <c r="E43" s="1" t="n">
        <v>46273</v>
      </c>
      <c r="F43" t="inlineStr">
        <is>
          <t>SKÅNE LÄN</t>
        </is>
      </c>
      <c r="G43" t="inlineStr">
        <is>
          <t>ÖSTRA GÖINGE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HYPERLINK("https://klasma.github.io/Logging_1256/artfynd/A 6152-2024 artfynd.xlsx", "A 6152-2024")</f>
        <v/>
      </c>
      <c r="X43">
        <f>HYPERLINK("https://klasma.github.io/Logging_1256/kartor/A 6152-2024 karta.png", "A 6152-2024")</f>
        <v/>
      </c>
      <c r="Y43">
        <f>HYPERLINK("https://klasma.github.io/Logging_1256/kartor_geotiff/A 6152-2024 georefererad karta.tif", "A 6152-2024")</f>
        <v/>
      </c>
      <c r="AA43">
        <f>HYPERLINK("https://klasma.github.io/Logging_1256/klagomål/A 6152-2024 FSC-klagomål.docx", "A 6152-2024")</f>
        <v/>
      </c>
      <c r="AB43">
        <f>HYPERLINK("https://klasma.github.io/Logging_1256/klagomålsmail/A 6152-2024 FSC-klagomål mail.docx", "A 6152-2024")</f>
        <v/>
      </c>
      <c r="AC43">
        <f>HYPERLINK("https://klasma.github.io/Logging_1256/tillsyn/A 6152-2024 tillsynsbegäran.docx", "A 6152-2024")</f>
        <v/>
      </c>
      <c r="AD43">
        <f>HYPERLINK("https://klasma.github.io/Logging_1256/tillsynsmail/A 6152-2024 tillsynsbegäran mail.docx", "A 6152-2024")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46273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29273-2023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45105</v>
      </c>
      <c r="E45" s="1" t="n">
        <v>46273</v>
      </c>
      <c r="F45" t="inlineStr">
        <is>
          <t>SKÅNE LÄN</t>
        </is>
      </c>
      <c r="G45" t="inlineStr">
        <is>
          <t>ÖSTRA GÖINGE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Nötkråka</t>
        </is>
      </c>
      <c r="W45">
        <f>HYPERLINK("https://klasma.github.io/Logging_1256/artfynd/A 29273-2023 artfynd.xlsx", "A 29273-2023")</f>
        <v/>
      </c>
      <c r="X45">
        <f>HYPERLINK("https://klasma.github.io/Logging_1256/kartor/A 29273-2023 karta.png", "A 29273-2023")</f>
        <v/>
      </c>
      <c r="Y45">
        <f>HYPERLINK("https://klasma.github.io/Logging_1256/kartor_geotiff/A 29273-2023 georefererad karta.tif", "A 29273-2023")</f>
        <v/>
      </c>
      <c r="AA45">
        <f>HYPERLINK("https://klasma.github.io/Logging_1256/klagomål/A 29273-2023 FSC-klagomål.docx", "A 29273-2023")</f>
        <v/>
      </c>
      <c r="AB45">
        <f>HYPERLINK("https://klasma.github.io/Logging_1256/klagomålsmail/A 29273-2023 FSC-klagomål mail.docx", "A 29273-2023")</f>
        <v/>
      </c>
      <c r="AC45">
        <f>HYPERLINK("https://klasma.github.io/Logging_1256/tillsyn/A 29273-2023 tillsynsbegäran.docx", "A 29273-2023")</f>
        <v/>
      </c>
      <c r="AD45">
        <f>HYPERLINK("https://klasma.github.io/Logging_1256/tillsynsmail/A 29273-2023 tillsynsbegäran mail.docx", "A 29273-2023")</f>
        <v/>
      </c>
      <c r="AE45">
        <f>HYPERLINK("https://klasma.github.io/Logging_1256/fåglar/A 29273-2023 prioriterade fågelarter.docx", "A 29273-2023")</f>
        <v/>
      </c>
    </row>
    <row r="46" ht="15" customHeight="1">
      <c r="A46" t="inlineStr">
        <is>
          <t>A 4386-2024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46273</v>
      </c>
      <c r="F46" t="inlineStr">
        <is>
          <t>SKÅNE LÄN</t>
        </is>
      </c>
      <c r="G46" t="inlineStr">
        <is>
          <t>ÖSTRA GÖINGE</t>
        </is>
      </c>
      <c r="I46" t="n">
        <v>1.8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4386-2024 artfynd.xlsx", "A 4386-2024")</f>
        <v/>
      </c>
      <c r="X46">
        <f>HYPERLINK("https://klasma.github.io/Logging_1256/kartor/A 4386-2024 karta.png", "A 4386-2024")</f>
        <v/>
      </c>
      <c r="Y46">
        <f>HYPERLINK("https://klasma.github.io/Logging_1256/kartor_geotiff/A 4386-2024 georefererad karta.tif", "A 4386-2024")</f>
        <v/>
      </c>
      <c r="AA46">
        <f>HYPERLINK("https://klasma.github.io/Logging_1256/klagomål/A 4386-2024 FSC-klagomål.docx", "A 4386-2024")</f>
        <v/>
      </c>
      <c r="AB46">
        <f>HYPERLINK("https://klasma.github.io/Logging_1256/klagomålsmail/A 4386-2024 FSC-klagomål mail.docx", "A 4386-2024")</f>
        <v/>
      </c>
      <c r="AC46">
        <f>HYPERLINK("https://klasma.github.io/Logging_1256/tillsyn/A 4386-2024 tillsynsbegäran.docx", "A 4386-2024")</f>
        <v/>
      </c>
      <c r="AD46">
        <f>HYPERLINK("https://klasma.github.io/Logging_1256/tillsynsmail/A 4386-2024 tillsynsbegäran mail.docx", "A 4386-2024")</f>
        <v/>
      </c>
    </row>
    <row r="47" ht="15" customHeight="1">
      <c r="A47" t="inlineStr">
        <is>
          <t>A 2695-2022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46273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Grönsångare</t>
        </is>
      </c>
      <c r="W47">
        <f>HYPERLINK("https://klasma.github.io/Logging_1256/artfynd/A 2695-2022 artfynd.xlsx", "A 2695-2022")</f>
        <v/>
      </c>
      <c r="X47">
        <f>HYPERLINK("https://klasma.github.io/Logging_1256/kartor/A 2695-2022 karta.png", "A 2695-2022")</f>
        <v/>
      </c>
      <c r="Y47">
        <f>HYPERLINK("https://klasma.github.io/Logging_1256/kartor_geotiff/A 2695-2022 georefererad karta.tif", "A 2695-2022")</f>
        <v/>
      </c>
      <c r="AA47">
        <f>HYPERLINK("https://klasma.github.io/Logging_1256/klagomål/A 2695-2022 FSC-klagomål.docx", "A 2695-2022")</f>
        <v/>
      </c>
      <c r="AB47">
        <f>HYPERLINK("https://klasma.github.io/Logging_1256/klagomålsmail/A 2695-2022 FSC-klagomål mail.docx", "A 2695-2022")</f>
        <v/>
      </c>
      <c r="AC47">
        <f>HYPERLINK("https://klasma.github.io/Logging_1256/tillsyn/A 2695-2022 tillsynsbegäran.docx", "A 2695-2022")</f>
        <v/>
      </c>
      <c r="AD47">
        <f>HYPERLINK("https://klasma.github.io/Logging_1256/tillsynsmail/A 2695-2022 tillsynsbegäran mail.docx", "A 2695-2022")</f>
        <v/>
      </c>
      <c r="AE47">
        <f>HYPERLINK("https://klasma.github.io/Logging_1256/fåglar/A 2695-2022 prioriterade fågelarter.docx", "A 2695-2022")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46273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4892-2023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44958</v>
      </c>
      <c r="E49" s="1" t="n">
        <v>46273</v>
      </c>
      <c r="F49" t="inlineStr">
        <is>
          <t>SKÅNE LÄN</t>
        </is>
      </c>
      <c r="G49" t="inlineStr">
        <is>
          <t>ÖSTRA GÖINGE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Gulsparv</t>
        </is>
      </c>
      <c r="W49">
        <f>HYPERLINK("https://klasma.github.io/Logging_1256/artfynd/A 4892-2023 artfynd.xlsx", "A 4892-2023")</f>
        <v/>
      </c>
      <c r="X49">
        <f>HYPERLINK("https://klasma.github.io/Logging_1256/kartor/A 4892-2023 karta.png", "A 4892-2023")</f>
        <v/>
      </c>
      <c r="Y49">
        <f>HYPERLINK("https://klasma.github.io/Logging_1256/kartor_geotiff/A 4892-2023 georefererad karta.tif", "A 4892-2023")</f>
        <v/>
      </c>
      <c r="AA49">
        <f>HYPERLINK("https://klasma.github.io/Logging_1256/klagomål/A 4892-2023 FSC-klagomål.docx", "A 4892-2023")</f>
        <v/>
      </c>
      <c r="AB49">
        <f>HYPERLINK("https://klasma.github.io/Logging_1256/klagomålsmail/A 4892-2023 FSC-klagomål mail.docx", "A 4892-2023")</f>
        <v/>
      </c>
      <c r="AC49">
        <f>HYPERLINK("https://klasma.github.io/Logging_1256/tillsyn/A 4892-2023 tillsynsbegäran.docx", "A 4892-2023")</f>
        <v/>
      </c>
      <c r="AD49">
        <f>HYPERLINK("https://klasma.github.io/Logging_1256/tillsynsmail/A 4892-2023 tillsynsbegäran mail.docx", "A 4892-2023")</f>
        <v/>
      </c>
      <c r="AE49">
        <f>HYPERLINK("https://klasma.github.io/Logging_1256/fåglar/A 4892-2023 prioriterade fågelarter.docx", "A 4892-2023")</f>
        <v/>
      </c>
    </row>
    <row r="50" ht="15" customHeight="1">
      <c r="A50" t="inlineStr">
        <is>
          <t>A 4251-2023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46273</v>
      </c>
      <c r="F50" t="inlineStr">
        <is>
          <t>SKÅNE LÄN</t>
        </is>
      </c>
      <c r="G50" t="inlineStr">
        <is>
          <t>ÖSTRA GÖINGE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Ask</t>
        </is>
      </c>
      <c r="W50">
        <f>HYPERLINK("https://klasma.github.io/Logging_1256/artfynd/A 4251-2023 artfynd.xlsx", "A 4251-2023")</f>
        <v/>
      </c>
      <c r="X50">
        <f>HYPERLINK("https://klasma.github.io/Logging_1256/kartor/A 4251-2023 karta.png", "A 4251-2023")</f>
        <v/>
      </c>
      <c r="Y50">
        <f>HYPERLINK("https://klasma.github.io/Logging_1256/kartor_geotiff/A 4251-2023 georefererad karta.tif", "A 4251-2023")</f>
        <v/>
      </c>
      <c r="AA50">
        <f>HYPERLINK("https://klasma.github.io/Logging_1256/klagomål/A 4251-2023 FSC-klagomål.docx", "A 4251-2023")</f>
        <v/>
      </c>
      <c r="AB50">
        <f>HYPERLINK("https://klasma.github.io/Logging_1256/klagomålsmail/A 4251-2023 FSC-klagomål mail.docx", "A 4251-2023")</f>
        <v/>
      </c>
      <c r="AC50">
        <f>HYPERLINK("https://klasma.github.io/Logging_1256/tillsyn/A 4251-2023 tillsynsbegäran.docx", "A 4251-2023")</f>
        <v/>
      </c>
      <c r="AD50">
        <f>HYPERLINK("https://klasma.github.io/Logging_1256/tillsynsmail/A 4251-2023 tillsynsbegäran mail.docx", "A 4251-2023")</f>
        <v/>
      </c>
    </row>
    <row r="51" ht="15" customHeight="1">
      <c r="A51" t="inlineStr">
        <is>
          <t>A 62060-2022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44918</v>
      </c>
      <c r="E51" s="1" t="n">
        <v>46273</v>
      </c>
      <c r="F51" t="inlineStr">
        <is>
          <t>SKÅNE LÄN</t>
        </is>
      </c>
      <c r="G51" t="inlineStr">
        <is>
          <t>ÖSTRA GÖINGE</t>
        </is>
      </c>
      <c r="I51" t="n">
        <v>2.7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Desmeknopp</t>
        </is>
      </c>
      <c r="W51">
        <f>HYPERLINK("https://klasma.github.io/Logging_1256/artfynd/A 62060-2022 artfynd.xlsx", "A 62060-2022")</f>
        <v/>
      </c>
      <c r="X51">
        <f>HYPERLINK("https://klasma.github.io/Logging_1256/kartor/A 62060-2022 karta.png", "A 62060-2022")</f>
        <v/>
      </c>
      <c r="Y51">
        <f>HYPERLINK("https://klasma.github.io/Logging_1256/kartor_geotiff/A 62060-2022 georefererad karta.tif", "A 62060-2022")</f>
        <v/>
      </c>
      <c r="AA51">
        <f>HYPERLINK("https://klasma.github.io/Logging_1256/klagomål/A 62060-2022 FSC-klagomål.docx", "A 62060-2022")</f>
        <v/>
      </c>
      <c r="AB51">
        <f>HYPERLINK("https://klasma.github.io/Logging_1256/klagomålsmail/A 62060-2022 FSC-klagomål mail.docx", "A 62060-2022")</f>
        <v/>
      </c>
      <c r="AC51">
        <f>HYPERLINK("https://klasma.github.io/Logging_1256/tillsyn/A 62060-2022 tillsynsbegäran.docx", "A 62060-2022")</f>
        <v/>
      </c>
      <c r="AD51">
        <f>HYPERLINK("https://klasma.github.io/Logging_1256/tillsynsmail/A 62060-2022 tillsynsbegäran mail.docx", "A 62060-2022")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46273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46273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46273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46273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46273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46273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46273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46273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46273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46273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46273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46273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46273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46273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46273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46273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46273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46273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46273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46273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46273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46273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46273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46273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46273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46273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46273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46273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46273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46273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46273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46273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46273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46273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46273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46273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46273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46273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46273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46273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46273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46273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46273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46273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46273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46273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46273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46273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46273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46273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46273</v>
      </c>
      <c r="F116" t="inlineStr">
        <is>
          <t>SKÅNE LÄN</t>
        </is>
      </c>
      <c r="G116" t="inlineStr">
        <is>
          <t>ÖSTRA GÖINGE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46273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45271</v>
      </c>
      <c r="E118" s="1" t="n">
        <v>46273</v>
      </c>
      <c r="F118" t="inlineStr">
        <is>
          <t>SKÅNE LÄN</t>
        </is>
      </c>
      <c r="G118" t="inlineStr">
        <is>
          <t>ÖSTRA GÖINGE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46273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46273</v>
      </c>
      <c r="F120" t="inlineStr">
        <is>
          <t>SKÅNE LÄN</t>
        </is>
      </c>
      <c r="G120" t="inlineStr">
        <is>
          <t>ÖSTRA GÖINGE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45483</v>
      </c>
      <c r="E121" s="1" t="n">
        <v>46273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46273</v>
      </c>
      <c r="F122" t="inlineStr">
        <is>
          <t>SKÅNE LÄN</t>
        </is>
      </c>
      <c r="G122" t="inlineStr">
        <is>
          <t>ÖSTRA GÖINGE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45139</v>
      </c>
      <c r="E123" s="1" t="n">
        <v>46273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46273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46273</v>
      </c>
      <c r="F125" t="inlineStr">
        <is>
          <t>SKÅNE LÄN</t>
        </is>
      </c>
      <c r="G125" t="inlineStr">
        <is>
          <t>ÖSTRA GÖINGE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46273</v>
      </c>
      <c r="F126" t="inlineStr">
        <is>
          <t>SKÅNE LÄN</t>
        </is>
      </c>
      <c r="G126" t="inlineStr">
        <is>
          <t>ÖSTRA GÖINGE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46273</v>
      </c>
      <c r="F127" t="inlineStr">
        <is>
          <t>SKÅNE LÄN</t>
        </is>
      </c>
      <c r="G127" t="inlineStr">
        <is>
          <t>ÖSTRA GÖINGE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46273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46273</v>
      </c>
      <c r="F129" t="inlineStr">
        <is>
          <t>SKÅNE LÄN</t>
        </is>
      </c>
      <c r="G129" t="inlineStr">
        <is>
          <t>ÖSTRA GÖINGE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46273</v>
      </c>
      <c r="F130" t="inlineStr">
        <is>
          <t>SKÅNE LÄN</t>
        </is>
      </c>
      <c r="G130" t="inlineStr">
        <is>
          <t>ÖSTRA GÖINGE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46273</v>
      </c>
      <c r="F131" t="inlineStr">
        <is>
          <t>SKÅNE LÄN</t>
        </is>
      </c>
      <c r="G131" t="inlineStr">
        <is>
          <t>ÖSTRA GÖINGE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46273</v>
      </c>
      <c r="F132" t="inlineStr">
        <is>
          <t>SKÅNE LÄN</t>
        </is>
      </c>
      <c r="G132" t="inlineStr">
        <is>
          <t>ÖSTRA GÖINGE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46273</v>
      </c>
      <c r="F133" t="inlineStr">
        <is>
          <t>SKÅNE LÄN</t>
        </is>
      </c>
      <c r="G133" t="inlineStr">
        <is>
          <t>ÖSTRA GÖINGE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46273</v>
      </c>
      <c r="F134" t="inlineStr">
        <is>
          <t>SKÅNE LÄN</t>
        </is>
      </c>
      <c r="G134" t="inlineStr">
        <is>
          <t>ÖSTRA GÖINGE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74142-2021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46273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46273</v>
      </c>
      <c r="F136" t="inlineStr">
        <is>
          <t>SKÅNE LÄN</t>
        </is>
      </c>
      <c r="G136" t="inlineStr">
        <is>
          <t>ÖSTRA GÖINGE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46273</v>
      </c>
      <c r="F137" t="inlineStr">
        <is>
          <t>SKÅNE LÄN</t>
        </is>
      </c>
      <c r="G137" t="inlineStr">
        <is>
          <t>ÖSTRA GÖINGE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46273</v>
      </c>
      <c r="F138" t="inlineStr">
        <is>
          <t>SKÅNE LÄN</t>
        </is>
      </c>
      <c r="G138" t="inlineStr">
        <is>
          <t>ÖSTRA GÖINGE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46273</v>
      </c>
      <c r="F139" t="inlineStr">
        <is>
          <t>SKÅNE LÄN</t>
        </is>
      </c>
      <c r="G139" t="inlineStr">
        <is>
          <t>ÖSTRA GÖINGE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46273</v>
      </c>
      <c r="F140" t="inlineStr">
        <is>
          <t>SKÅNE LÄN</t>
        </is>
      </c>
      <c r="G140" t="inlineStr">
        <is>
          <t>ÖSTRA GÖINGE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45082</v>
      </c>
      <c r="E141" s="1" t="n">
        <v>46273</v>
      </c>
      <c r="F141" t="inlineStr">
        <is>
          <t>SKÅNE LÄN</t>
        </is>
      </c>
      <c r="G141" t="inlineStr">
        <is>
          <t>ÖSTRA GÖINGE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46273</v>
      </c>
      <c r="F142" t="inlineStr">
        <is>
          <t>SKÅNE LÄN</t>
        </is>
      </c>
      <c r="G142" t="inlineStr">
        <is>
          <t>ÖSTRA GÖINGE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46273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46273</v>
      </c>
      <c r="F144" t="inlineStr">
        <is>
          <t>SKÅNE LÄN</t>
        </is>
      </c>
      <c r="G144" t="inlineStr">
        <is>
          <t>ÖSTRA GÖINGE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44887</v>
      </c>
      <c r="E145" s="1" t="n">
        <v>46273</v>
      </c>
      <c r="F145" t="inlineStr">
        <is>
          <t>SKÅNE LÄN</t>
        </is>
      </c>
      <c r="G145" t="inlineStr">
        <is>
          <t>ÖSTRA GÖINGE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46273</v>
      </c>
      <c r="F146" t="inlineStr">
        <is>
          <t>SKÅNE LÄN</t>
        </is>
      </c>
      <c r="G146" t="inlineStr">
        <is>
          <t>ÖSTRA GÖINGE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45541</v>
      </c>
      <c r="E147" s="1" t="n">
        <v>46273</v>
      </c>
      <c r="F147" t="inlineStr">
        <is>
          <t>SKÅNE LÄN</t>
        </is>
      </c>
      <c r="G147" t="inlineStr">
        <is>
          <t>ÖSTRA GÖINGE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46273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46273</v>
      </c>
      <c r="F149" t="inlineStr">
        <is>
          <t>SKÅNE LÄN</t>
        </is>
      </c>
      <c r="G149" t="inlineStr">
        <is>
          <t>ÖSTRA GÖINGE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34931-2023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45142</v>
      </c>
      <c r="E150" s="1" t="n">
        <v>46273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46273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46273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46273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36324-2022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44803</v>
      </c>
      <c r="E154" s="1" t="n">
        <v>46273</v>
      </c>
      <c r="F154" t="inlineStr">
        <is>
          <t>SKÅNE LÄN</t>
        </is>
      </c>
      <c r="G154" t="inlineStr">
        <is>
          <t>ÖSTRA GÖINGE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46273</v>
      </c>
      <c r="F155" t="inlineStr">
        <is>
          <t>SKÅNE LÄN</t>
        </is>
      </c>
      <c r="G155" t="inlineStr">
        <is>
          <t>ÖSTRA GÖINGE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46273</v>
      </c>
      <c r="F156" t="inlineStr">
        <is>
          <t>SKÅNE LÄN</t>
        </is>
      </c>
      <c r="G156" t="inlineStr">
        <is>
          <t>ÖSTRA GÖINGE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45256</v>
      </c>
      <c r="E157" s="1" t="n">
        <v>46273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46273</v>
      </c>
      <c r="F158" t="inlineStr">
        <is>
          <t>SKÅNE LÄN</t>
        </is>
      </c>
      <c r="G158" t="inlineStr">
        <is>
          <t>ÖSTRA GÖINGE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46273</v>
      </c>
      <c r="F159" t="inlineStr">
        <is>
          <t>SKÅNE LÄN</t>
        </is>
      </c>
      <c r="G159" t="inlineStr">
        <is>
          <t>ÖSTRA GÖINGE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46273</v>
      </c>
      <c r="F160" t="inlineStr">
        <is>
          <t>SKÅNE LÄN</t>
        </is>
      </c>
      <c r="G160" t="inlineStr">
        <is>
          <t>ÖSTRA GÖINGE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46273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46273</v>
      </c>
      <c r="F162" t="inlineStr">
        <is>
          <t>SKÅNE LÄN</t>
        </is>
      </c>
      <c r="G162" t="inlineStr">
        <is>
          <t>ÖSTRA GÖINGE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46273</v>
      </c>
      <c r="F163" t="inlineStr">
        <is>
          <t>SKÅNE LÄN</t>
        </is>
      </c>
      <c r="G163" t="inlineStr">
        <is>
          <t>ÖSTRA GÖINGE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46273</v>
      </c>
      <c r="F164" t="inlineStr">
        <is>
          <t>SKÅNE LÄN</t>
        </is>
      </c>
      <c r="G164" t="inlineStr">
        <is>
          <t>ÖSTRA GÖINGE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46273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46273</v>
      </c>
      <c r="F166" t="inlineStr">
        <is>
          <t>SKÅNE LÄN</t>
        </is>
      </c>
      <c r="G166" t="inlineStr">
        <is>
          <t>ÖSTRA GÖINGE</t>
        </is>
      </c>
      <c r="H166" t="inlineStr">
        <is>
          <t>Kyrkan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46273</v>
      </c>
      <c r="F167" t="inlineStr">
        <is>
          <t>SKÅNE LÄN</t>
        </is>
      </c>
      <c r="G167" t="inlineStr">
        <is>
          <t>ÖSTRA GÖINGE</t>
        </is>
      </c>
      <c r="H167" t="inlineStr">
        <is>
          <t>Kyrkan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46273</v>
      </c>
      <c r="F168" t="inlineStr">
        <is>
          <t>SKÅNE LÄN</t>
        </is>
      </c>
      <c r="G168" t="inlineStr">
        <is>
          <t>ÖSTRA GÖINGE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46273</v>
      </c>
      <c r="F169" t="inlineStr">
        <is>
          <t>SKÅNE LÄN</t>
        </is>
      </c>
      <c r="G169" t="inlineStr">
        <is>
          <t>ÖSTRA GÖINGE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46273</v>
      </c>
      <c r="F170" t="inlineStr">
        <is>
          <t>SKÅNE LÄN</t>
        </is>
      </c>
      <c r="G170" t="inlineStr">
        <is>
          <t>ÖSTRA GÖINGE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46273</v>
      </c>
      <c r="F171" t="inlineStr">
        <is>
          <t>SKÅNE LÄN</t>
        </is>
      </c>
      <c r="G171" t="inlineStr">
        <is>
          <t>ÖSTRA GÖINGE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46273</v>
      </c>
      <c r="F172" t="inlineStr">
        <is>
          <t>SKÅNE LÄN</t>
        </is>
      </c>
      <c r="G172" t="inlineStr">
        <is>
          <t>ÖSTRA GÖINGE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46273</v>
      </c>
      <c r="F173" t="inlineStr">
        <is>
          <t>SKÅNE LÄN</t>
        </is>
      </c>
      <c r="G173" t="inlineStr">
        <is>
          <t>ÖSTRA GÖINGE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46273</v>
      </c>
      <c r="F174" t="inlineStr">
        <is>
          <t>SKÅNE LÄN</t>
        </is>
      </c>
      <c r="G174" t="inlineStr">
        <is>
          <t>ÖSTRA GÖINGE</t>
        </is>
      </c>
      <c r="H174" t="inlineStr">
        <is>
          <t>Sveaskog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45022</v>
      </c>
      <c r="E175" s="1" t="n">
        <v>46273</v>
      </c>
      <c r="F175" t="inlineStr">
        <is>
          <t>SKÅNE LÄN</t>
        </is>
      </c>
      <c r="G175" t="inlineStr">
        <is>
          <t>ÖSTRA GÖINGE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46273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46142</v>
      </c>
      <c r="E177" s="1" t="n">
        <v>46273</v>
      </c>
      <c r="F177" t="inlineStr">
        <is>
          <t>SKÅNE LÄN</t>
        </is>
      </c>
      <c r="G177" t="inlineStr">
        <is>
          <t>ÖSTRA GÖINGE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46273</v>
      </c>
      <c r="F178" t="inlineStr">
        <is>
          <t>SKÅNE LÄN</t>
        </is>
      </c>
      <c r="G178" t="inlineStr">
        <is>
          <t>ÖSTRA GÖINGE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46273</v>
      </c>
      <c r="F179" t="inlineStr">
        <is>
          <t>SKÅNE LÄN</t>
        </is>
      </c>
      <c r="G179" t="inlineStr">
        <is>
          <t>ÖSTRA GÖINGE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46273</v>
      </c>
      <c r="F180" t="inlineStr">
        <is>
          <t>SKÅNE LÄN</t>
        </is>
      </c>
      <c r="G180" t="inlineStr">
        <is>
          <t>ÖSTRA GÖINGE</t>
        </is>
      </c>
      <c r="I180" t="n">
        <v>10.6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45643</v>
      </c>
      <c r="E181" s="1" t="n">
        <v>46273</v>
      </c>
      <c r="F181" t="inlineStr">
        <is>
          <t>SKÅNE LÄN</t>
        </is>
      </c>
      <c r="G181" t="inlineStr">
        <is>
          <t>ÖSTRA GÖINGE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46273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50896-2021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44460</v>
      </c>
      <c r="E183" s="1" t="n">
        <v>46273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46273</v>
      </c>
      <c r="F184" t="inlineStr">
        <is>
          <t>SKÅNE LÄN</t>
        </is>
      </c>
      <c r="G184" t="inlineStr">
        <is>
          <t>ÖSTRA GÖINGE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21260-2026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46147</v>
      </c>
      <c r="E185" s="1" t="n">
        <v>46273</v>
      </c>
      <c r="F185" t="inlineStr">
        <is>
          <t>SKÅNE LÄN</t>
        </is>
      </c>
      <c r="G185" t="inlineStr">
        <is>
          <t>ÖSTRA GÖINGE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55140-2022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46273</v>
      </c>
      <c r="F186" t="inlineStr">
        <is>
          <t>SKÅNE LÄN</t>
        </is>
      </c>
      <c r="G186" t="inlineStr">
        <is>
          <t>ÖSTRA GÖINGE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46273</v>
      </c>
      <c r="F187" t="inlineStr">
        <is>
          <t>SKÅNE LÄN</t>
        </is>
      </c>
      <c r="G187" t="inlineStr">
        <is>
          <t>ÖSTRA GÖINGE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46273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46273</v>
      </c>
      <c r="F189" t="inlineStr">
        <is>
          <t>SKÅNE LÄN</t>
        </is>
      </c>
      <c r="G189" t="inlineStr">
        <is>
          <t>ÖSTRA GÖINGE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46273</v>
      </c>
      <c r="F190" t="inlineStr">
        <is>
          <t>SKÅNE LÄN</t>
        </is>
      </c>
      <c r="G190" t="inlineStr">
        <is>
          <t>ÖSTRA GÖINGE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45268</v>
      </c>
      <c r="E191" s="1" t="n">
        <v>46273</v>
      </c>
      <c r="F191" t="inlineStr">
        <is>
          <t>SKÅNE LÄN</t>
        </is>
      </c>
      <c r="G191" t="inlineStr">
        <is>
          <t>ÖSTRA GÖINGE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46273</v>
      </c>
      <c r="F192" t="inlineStr">
        <is>
          <t>SKÅNE LÄN</t>
        </is>
      </c>
      <c r="G192" t="inlineStr">
        <is>
          <t>ÖSTRA GÖINGE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45935</v>
      </c>
      <c r="E193" s="1" t="n">
        <v>46273</v>
      </c>
      <c r="F193" t="inlineStr">
        <is>
          <t>SKÅNE LÄN</t>
        </is>
      </c>
      <c r="G193" t="inlineStr">
        <is>
          <t>ÖSTRA GÖINGE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46273</v>
      </c>
      <c r="F194" t="inlineStr">
        <is>
          <t>SKÅNE LÄN</t>
        </is>
      </c>
      <c r="G194" t="inlineStr">
        <is>
          <t>ÖSTRA GÖINGE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46273</v>
      </c>
      <c r="F195" t="inlineStr">
        <is>
          <t>SKÅNE LÄN</t>
        </is>
      </c>
      <c r="G195" t="inlineStr">
        <is>
          <t>ÖSTRA GÖINGE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46273</v>
      </c>
      <c r="F196" t="inlineStr">
        <is>
          <t>SKÅNE LÄN</t>
        </is>
      </c>
      <c r="G196" t="inlineStr">
        <is>
          <t>ÖSTRA GÖINGE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46273</v>
      </c>
      <c r="F197" t="inlineStr">
        <is>
          <t>SKÅNE LÄN</t>
        </is>
      </c>
      <c r="G197" t="inlineStr">
        <is>
          <t>ÖSTRA GÖINGE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46273</v>
      </c>
      <c r="F198" t="inlineStr">
        <is>
          <t>SKÅNE LÄN</t>
        </is>
      </c>
      <c r="G198" t="inlineStr">
        <is>
          <t>ÖSTRA GÖINGE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46273</v>
      </c>
      <c r="F199" t="inlineStr">
        <is>
          <t>SKÅNE LÄN</t>
        </is>
      </c>
      <c r="G199" t="inlineStr">
        <is>
          <t>ÖSTRA GÖINGE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46273</v>
      </c>
      <c r="F200" t="inlineStr">
        <is>
          <t>SKÅNE LÄN</t>
        </is>
      </c>
      <c r="G200" t="inlineStr">
        <is>
          <t>ÖSTRA GÖINGE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44929</v>
      </c>
      <c r="E201" s="1" t="n">
        <v>46273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46273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46273</v>
      </c>
      <c r="F203" t="inlineStr">
        <is>
          <t>SKÅNE LÄN</t>
        </is>
      </c>
      <c r="G203" t="inlineStr">
        <is>
          <t>ÖSTRA GÖINGE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46273</v>
      </c>
      <c r="F204" t="inlineStr">
        <is>
          <t>SKÅNE LÄN</t>
        </is>
      </c>
      <c r="G204" t="inlineStr">
        <is>
          <t>ÖSTRA GÖINGE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46273</v>
      </c>
      <c r="F205" t="inlineStr">
        <is>
          <t>SKÅNE LÄN</t>
        </is>
      </c>
      <c r="G205" t="inlineStr">
        <is>
          <t>ÖSTRA GÖINGE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50922-2021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46273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46273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46273</v>
      </c>
      <c r="F208" t="inlineStr">
        <is>
          <t>SKÅNE LÄN</t>
        </is>
      </c>
      <c r="G208" t="inlineStr">
        <is>
          <t>ÖSTRA GÖINGE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69384-2021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46273</v>
      </c>
      <c r="F209" t="inlineStr">
        <is>
          <t>SKÅNE LÄN</t>
        </is>
      </c>
      <c r="G209" t="inlineStr">
        <is>
          <t>ÖSTRA GÖINGE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46273</v>
      </c>
      <c r="F210" t="inlineStr">
        <is>
          <t>SKÅNE LÄN</t>
        </is>
      </c>
      <c r="G210" t="inlineStr">
        <is>
          <t>ÖSTRA GÖINGE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46273</v>
      </c>
      <c r="F211" t="inlineStr">
        <is>
          <t>SKÅNE LÄN</t>
        </is>
      </c>
      <c r="G211" t="inlineStr">
        <is>
          <t>ÖSTRA GÖINGE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46273</v>
      </c>
      <c r="F212" t="inlineStr">
        <is>
          <t>SKÅNE LÄN</t>
        </is>
      </c>
      <c r="G212" t="inlineStr">
        <is>
          <t>ÖSTRA GÖINGE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45105</v>
      </c>
      <c r="E213" s="1" t="n">
        <v>46273</v>
      </c>
      <c r="F213" t="inlineStr">
        <is>
          <t>SKÅNE LÄN</t>
        </is>
      </c>
      <c r="G213" t="inlineStr">
        <is>
          <t>ÖSTRA GÖINGE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45316</v>
      </c>
      <c r="E214" s="1" t="n">
        <v>46273</v>
      </c>
      <c r="F214" t="inlineStr">
        <is>
          <t>SKÅNE LÄN</t>
        </is>
      </c>
      <c r="G214" t="inlineStr">
        <is>
          <t>ÖSTRA GÖINGE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71741-2021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46273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46273</v>
      </c>
      <c r="F216" t="inlineStr">
        <is>
          <t>SKÅNE LÄN</t>
        </is>
      </c>
      <c r="G216" t="inlineStr">
        <is>
          <t>ÖSTRA GÖINGE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46273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46273</v>
      </c>
      <c r="F218" t="inlineStr">
        <is>
          <t>SKÅNE LÄN</t>
        </is>
      </c>
      <c r="G218" t="inlineStr">
        <is>
          <t>ÖSTRA GÖINGE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46273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46273</v>
      </c>
      <c r="F220" t="inlineStr">
        <is>
          <t>SKÅNE LÄN</t>
        </is>
      </c>
      <c r="G220" t="inlineStr">
        <is>
          <t>ÖSTRA GÖINGE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46167</v>
      </c>
      <c r="E221" s="1" t="n">
        <v>46273</v>
      </c>
      <c r="F221" t="inlineStr">
        <is>
          <t>SKÅNE LÄN</t>
        </is>
      </c>
      <c r="G221" t="inlineStr">
        <is>
          <t>ÖSTRA GÖINGE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46273</v>
      </c>
      <c r="F222" t="inlineStr">
        <is>
          <t>SKÅNE LÄN</t>
        </is>
      </c>
      <c r="G222" t="inlineStr">
        <is>
          <t>ÖSTRA GÖINGE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46273</v>
      </c>
      <c r="F223" t="inlineStr">
        <is>
          <t>SKÅNE LÄN</t>
        </is>
      </c>
      <c r="G223" t="inlineStr">
        <is>
          <t>ÖSTRA GÖINGE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46273</v>
      </c>
      <c r="F224" t="inlineStr">
        <is>
          <t>SKÅNE LÄN</t>
        </is>
      </c>
      <c r="G224" t="inlineStr">
        <is>
          <t>ÖSTRA GÖINGE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46273</v>
      </c>
      <c r="F225" t="inlineStr">
        <is>
          <t>SKÅNE LÄN</t>
        </is>
      </c>
      <c r="G225" t="inlineStr">
        <is>
          <t>ÖSTRA GÖINGE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44585</v>
      </c>
      <c r="E226" s="1" t="n">
        <v>46273</v>
      </c>
      <c r="F226" t="inlineStr">
        <is>
          <t>SKÅNE LÄN</t>
        </is>
      </c>
      <c r="G226" t="inlineStr">
        <is>
          <t>ÖSTRA GÖINGE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45970</v>
      </c>
      <c r="E227" s="1" t="n">
        <v>46273</v>
      </c>
      <c r="F227" t="inlineStr">
        <is>
          <t>SKÅNE LÄN</t>
        </is>
      </c>
      <c r="G227" t="inlineStr">
        <is>
          <t>ÖSTRA GÖINGE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55716-2024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45622</v>
      </c>
      <c r="E228" s="1" t="n">
        <v>46273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46273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46273</v>
      </c>
      <c r="F230" t="inlineStr">
        <is>
          <t>SKÅNE LÄN</t>
        </is>
      </c>
      <c r="G230" t="inlineStr">
        <is>
          <t>ÖSTRA GÖINGE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46273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46273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46273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45142</v>
      </c>
      <c r="E234" s="1" t="n">
        <v>46273</v>
      </c>
      <c r="F234" t="inlineStr">
        <is>
          <t>SKÅNE LÄN</t>
        </is>
      </c>
      <c r="G234" t="inlineStr">
        <is>
          <t>ÖSTRA GÖINGE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46273</v>
      </c>
      <c r="F235" t="inlineStr">
        <is>
          <t>SKÅNE LÄN</t>
        </is>
      </c>
      <c r="G235" t="inlineStr">
        <is>
          <t>ÖSTRA GÖINGE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46273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46273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45975</v>
      </c>
      <c r="E238" s="1" t="n">
        <v>46273</v>
      </c>
      <c r="F238" t="inlineStr">
        <is>
          <t>SKÅNE LÄN</t>
        </is>
      </c>
      <c r="G238" t="inlineStr">
        <is>
          <t>ÖSTRA GÖINGE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46273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46273</v>
      </c>
      <c r="F240" t="inlineStr">
        <is>
          <t>SKÅNE LÄN</t>
        </is>
      </c>
      <c r="G240" t="inlineStr">
        <is>
          <t>ÖSTRA GÖINGE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46273</v>
      </c>
      <c r="F241" t="inlineStr">
        <is>
          <t>SKÅNE LÄN</t>
        </is>
      </c>
      <c r="G241" t="inlineStr">
        <is>
          <t>ÖSTRA GÖINGE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46273</v>
      </c>
      <c r="F242" t="inlineStr">
        <is>
          <t>SKÅNE LÄN</t>
        </is>
      </c>
      <c r="G242" t="inlineStr">
        <is>
          <t>ÖSTRA GÖINGE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46273</v>
      </c>
      <c r="F243" t="inlineStr">
        <is>
          <t>SKÅNE LÄN</t>
        </is>
      </c>
      <c r="G243" t="inlineStr">
        <is>
          <t>ÖSTRA GÖINGE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46273</v>
      </c>
      <c r="F244" t="inlineStr">
        <is>
          <t>SKÅNE LÄN</t>
        </is>
      </c>
      <c r="G244" t="inlineStr">
        <is>
          <t>ÖSTRA GÖINGE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45029</v>
      </c>
      <c r="E245" s="1" t="n">
        <v>46273</v>
      </c>
      <c r="F245" t="inlineStr">
        <is>
          <t>SKÅNE LÄN</t>
        </is>
      </c>
      <c r="G245" t="inlineStr">
        <is>
          <t>ÖSTRA GÖINGE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46273</v>
      </c>
      <c r="F246" t="inlineStr">
        <is>
          <t>SKÅNE LÄN</t>
        </is>
      </c>
      <c r="G246" t="inlineStr">
        <is>
          <t>ÖSTRA GÖINGE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46273</v>
      </c>
      <c r="F247" t="inlineStr">
        <is>
          <t>SKÅNE LÄN</t>
        </is>
      </c>
      <c r="G247" t="inlineStr">
        <is>
          <t>ÖSTRA GÖINGE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46273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46273</v>
      </c>
      <c r="F249" t="inlineStr">
        <is>
          <t>SKÅNE LÄN</t>
        </is>
      </c>
      <c r="G249" t="inlineStr">
        <is>
          <t>ÖSTRA GÖINGE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46273</v>
      </c>
      <c r="F250" t="inlineStr">
        <is>
          <t>SKÅNE LÄN</t>
        </is>
      </c>
      <c r="G250" t="inlineStr">
        <is>
          <t>ÖSTRA GÖINGE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45428</v>
      </c>
      <c r="E251" s="1" t="n">
        <v>46273</v>
      </c>
      <c r="F251" t="inlineStr">
        <is>
          <t>SKÅNE LÄN</t>
        </is>
      </c>
      <c r="G251" t="inlineStr">
        <is>
          <t>ÖSTRA GÖINGE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46273</v>
      </c>
      <c r="F252" t="inlineStr">
        <is>
          <t>SKÅNE LÄN</t>
        </is>
      </c>
      <c r="G252" t="inlineStr">
        <is>
          <t>ÖSTRA GÖINGE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46273</v>
      </c>
      <c r="F253" t="inlineStr">
        <is>
          <t>SKÅNE LÄN</t>
        </is>
      </c>
      <c r="G253" t="inlineStr">
        <is>
          <t>ÖSTRA GÖINGE</t>
        </is>
      </c>
      <c r="I253" t="n">
        <v>34.5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46273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46273</v>
      </c>
      <c r="F255" t="inlineStr">
        <is>
          <t>SKÅNE LÄN</t>
        </is>
      </c>
      <c r="G255" t="inlineStr">
        <is>
          <t>ÖSTRA GÖINGE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46273</v>
      </c>
      <c r="F256" t="inlineStr">
        <is>
          <t>SKÅNE LÄN</t>
        </is>
      </c>
      <c r="G256" t="inlineStr">
        <is>
          <t>ÖSTRA GÖINGE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45085</v>
      </c>
      <c r="E257" s="1" t="n">
        <v>46273</v>
      </c>
      <c r="F257" t="inlineStr">
        <is>
          <t>SKÅNE LÄN</t>
        </is>
      </c>
      <c r="G257" t="inlineStr">
        <is>
          <t>ÖSTRA GÖINGE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46273</v>
      </c>
      <c r="F258" t="inlineStr">
        <is>
          <t>SKÅNE LÄN</t>
        </is>
      </c>
      <c r="G258" t="inlineStr">
        <is>
          <t>ÖSTRA GÖINGE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46273</v>
      </c>
      <c r="F259" t="inlineStr">
        <is>
          <t>SKÅNE LÄN</t>
        </is>
      </c>
      <c r="G259" t="inlineStr">
        <is>
          <t>ÖSTRA GÖINGE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44981</v>
      </c>
      <c r="E260" s="1" t="n">
        <v>46273</v>
      </c>
      <c r="F260" t="inlineStr">
        <is>
          <t>SKÅNE LÄN</t>
        </is>
      </c>
      <c r="G260" t="inlineStr">
        <is>
          <t>ÖSTRA GÖINGE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46273</v>
      </c>
      <c r="F261" t="inlineStr">
        <is>
          <t>SKÅNE LÄN</t>
        </is>
      </c>
      <c r="G261" t="inlineStr">
        <is>
          <t>ÖSTRA GÖINGE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45139</v>
      </c>
      <c r="E262" s="1" t="n">
        <v>46273</v>
      </c>
      <c r="F262" t="inlineStr">
        <is>
          <t>SKÅNE LÄN</t>
        </is>
      </c>
      <c r="G262" t="inlineStr">
        <is>
          <t>ÖSTRA GÖINGE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46273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46273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46273</v>
      </c>
      <c r="F265" t="inlineStr">
        <is>
          <t>SKÅNE LÄN</t>
        </is>
      </c>
      <c r="G265" t="inlineStr">
        <is>
          <t>ÖSTRA GÖINGE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46273</v>
      </c>
      <c r="F266" t="inlineStr">
        <is>
          <t>SKÅNE LÄN</t>
        </is>
      </c>
      <c r="G266" t="inlineStr">
        <is>
          <t>ÖSTRA GÖINGE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69387-2021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46273</v>
      </c>
      <c r="F267" t="inlineStr">
        <is>
          <t>SKÅNE LÄN</t>
        </is>
      </c>
      <c r="G267" t="inlineStr">
        <is>
          <t>ÖSTRA GÖINGE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46273</v>
      </c>
      <c r="F268" t="inlineStr">
        <is>
          <t>SKÅNE LÄN</t>
        </is>
      </c>
      <c r="G268" t="inlineStr">
        <is>
          <t>ÖSTRA GÖINGE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46273</v>
      </c>
      <c r="F269" t="inlineStr">
        <is>
          <t>SKÅNE LÄN</t>
        </is>
      </c>
      <c r="G269" t="inlineStr">
        <is>
          <t>ÖSTRA GÖINGE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46273</v>
      </c>
      <c r="F270" t="inlineStr">
        <is>
          <t>SKÅNE LÄN</t>
        </is>
      </c>
      <c r="G270" t="inlineStr">
        <is>
          <t>ÖSTRA GÖINGE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45541</v>
      </c>
      <c r="E271" s="1" t="n">
        <v>46273</v>
      </c>
      <c r="F271" t="inlineStr">
        <is>
          <t>SKÅNE LÄN</t>
        </is>
      </c>
      <c r="G271" t="inlineStr">
        <is>
          <t>ÖSTRA GÖINGE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46273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46273</v>
      </c>
      <c r="F273" t="inlineStr">
        <is>
          <t>SKÅNE LÄN</t>
        </is>
      </c>
      <c r="G273" t="inlineStr">
        <is>
          <t>ÖSTRA GÖINGE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46273</v>
      </c>
      <c r="F274" t="inlineStr">
        <is>
          <t>SKÅNE LÄN</t>
        </is>
      </c>
      <c r="G274" t="inlineStr">
        <is>
          <t>ÖSTRA GÖINGE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46273</v>
      </c>
      <c r="F275" t="inlineStr">
        <is>
          <t>SKÅNE LÄN</t>
        </is>
      </c>
      <c r="G275" t="inlineStr">
        <is>
          <t>ÖSTRA GÖINGE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46273</v>
      </c>
      <c r="F276" t="inlineStr">
        <is>
          <t>SKÅNE LÄN</t>
        </is>
      </c>
      <c r="G276" t="inlineStr">
        <is>
          <t>ÖSTRA GÖINGE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46273</v>
      </c>
      <c r="F277" t="inlineStr">
        <is>
          <t>SKÅNE LÄN</t>
        </is>
      </c>
      <c r="G277" t="inlineStr">
        <is>
          <t>ÖSTRA GÖINGE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46273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46273</v>
      </c>
      <c r="F279" t="inlineStr">
        <is>
          <t>SKÅNE LÄN</t>
        </is>
      </c>
      <c r="G279" t="inlineStr">
        <is>
          <t>ÖSTRA GÖINGE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46273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46279-2024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45581</v>
      </c>
      <c r="E281" s="1" t="n">
        <v>46273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45321</v>
      </c>
      <c r="E282" s="1" t="n">
        <v>46273</v>
      </c>
      <c r="F282" t="inlineStr">
        <is>
          <t>SKÅNE LÄN</t>
        </is>
      </c>
      <c r="G282" t="inlineStr">
        <is>
          <t>ÖSTRA GÖINGE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46273</v>
      </c>
      <c r="F283" t="inlineStr">
        <is>
          <t>SKÅNE LÄN</t>
        </is>
      </c>
      <c r="G283" t="inlineStr">
        <is>
          <t>ÖSTRA GÖINGE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46273</v>
      </c>
      <c r="F284" t="inlineStr">
        <is>
          <t>SKÅNE LÄN</t>
        </is>
      </c>
      <c r="G284" t="inlineStr">
        <is>
          <t>ÖSTRA GÖINGE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46273</v>
      </c>
      <c r="F285" t="inlineStr">
        <is>
          <t>SKÅNE LÄN</t>
        </is>
      </c>
      <c r="G285" t="inlineStr">
        <is>
          <t>ÖSTRA GÖINGE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46273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46273</v>
      </c>
      <c r="F287" t="inlineStr">
        <is>
          <t>SKÅNE LÄN</t>
        </is>
      </c>
      <c r="G287" t="inlineStr">
        <is>
          <t>ÖSTRA GÖINGE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46273</v>
      </c>
      <c r="F288" t="inlineStr">
        <is>
          <t>SKÅNE LÄN</t>
        </is>
      </c>
      <c r="G288" t="inlineStr">
        <is>
          <t>ÖSTRA GÖINGE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23402-2023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46273</v>
      </c>
      <c r="F289" t="inlineStr">
        <is>
          <t>SKÅNE LÄN</t>
        </is>
      </c>
      <c r="G289" t="inlineStr">
        <is>
          <t>ÖSTRA GÖINGE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45076</v>
      </c>
      <c r="E290" s="1" t="n">
        <v>46273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45172</v>
      </c>
      <c r="E291" s="1" t="n">
        <v>46273</v>
      </c>
      <c r="F291" t="inlineStr">
        <is>
          <t>SKÅNE LÄN</t>
        </is>
      </c>
      <c r="G291" t="inlineStr">
        <is>
          <t>ÖSTRA GÖINGE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46241</v>
      </c>
      <c r="E292" s="1" t="n">
        <v>46273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45117</v>
      </c>
      <c r="E293" s="1" t="n">
        <v>46273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42192-2023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45179</v>
      </c>
      <c r="E294" s="1" t="n">
        <v>46273</v>
      </c>
      <c r="F294" t="inlineStr">
        <is>
          <t>SKÅNE LÄN</t>
        </is>
      </c>
      <c r="G294" t="inlineStr">
        <is>
          <t>ÖSTRA GÖINGE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46273</v>
      </c>
      <c r="F295" t="inlineStr">
        <is>
          <t>SKÅNE LÄN</t>
        </is>
      </c>
      <c r="G295" t="inlineStr">
        <is>
          <t>ÖSTRA GÖINGE</t>
        </is>
      </c>
      <c r="I295" t="n">
        <v>15.4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45758</v>
      </c>
      <c r="E296" s="1" t="n">
        <v>46273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46273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7057-2026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46057</v>
      </c>
      <c r="E298" s="1" t="n">
        <v>46273</v>
      </c>
      <c r="F298" t="inlineStr">
        <is>
          <t>SKÅNE LÄN</t>
        </is>
      </c>
      <c r="G298" t="inlineStr">
        <is>
          <t>ÖSTRA GÖINGE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45685</v>
      </c>
      <c r="E299" s="1" t="n">
        <v>46273</v>
      </c>
      <c r="F299" t="inlineStr">
        <is>
          <t>SKÅNE LÄN</t>
        </is>
      </c>
      <c r="G299" t="inlineStr">
        <is>
          <t>ÖSTRA GÖINGE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46273</v>
      </c>
      <c r="F300" t="inlineStr">
        <is>
          <t>SKÅNE LÄN</t>
        </is>
      </c>
      <c r="G300" t="inlineStr">
        <is>
          <t>ÖSTRA GÖINGE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46273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45774</v>
      </c>
      <c r="E302" s="1" t="n">
        <v>46273</v>
      </c>
      <c r="F302" t="inlineStr">
        <is>
          <t>SKÅNE LÄN</t>
        </is>
      </c>
      <c r="G302" t="inlineStr">
        <is>
          <t>ÖSTRA GÖINGE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46273</v>
      </c>
      <c r="F303" t="inlineStr">
        <is>
          <t>SKÅNE LÄN</t>
        </is>
      </c>
      <c r="G303" t="inlineStr">
        <is>
          <t>ÖSTRA GÖINGE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46273</v>
      </c>
      <c r="F304" t="inlineStr">
        <is>
          <t>SKÅNE LÄN</t>
        </is>
      </c>
      <c r="G304" t="inlineStr">
        <is>
          <t>ÖSTRA GÖINGE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46273</v>
      </c>
      <c r="F305" t="inlineStr">
        <is>
          <t>SKÅNE LÄN</t>
        </is>
      </c>
      <c r="G305" t="inlineStr">
        <is>
          <t>ÖSTRA GÖINGE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46273</v>
      </c>
      <c r="F306" t="inlineStr">
        <is>
          <t>SKÅNE LÄN</t>
        </is>
      </c>
      <c r="G306" t="inlineStr">
        <is>
          <t>ÖSTRA GÖINGE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46273</v>
      </c>
      <c r="F307" t="inlineStr">
        <is>
          <t>SKÅNE LÄN</t>
        </is>
      </c>
      <c r="G307" t="inlineStr">
        <is>
          <t>ÖSTRA GÖINGE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46273</v>
      </c>
      <c r="F308" t="inlineStr">
        <is>
          <t>SKÅNE LÄN</t>
        </is>
      </c>
      <c r="G308" t="inlineStr">
        <is>
          <t>ÖSTRA GÖINGE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44686</v>
      </c>
      <c r="E309" s="1" t="n">
        <v>46273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44742</v>
      </c>
      <c r="E310" s="1" t="n">
        <v>46273</v>
      </c>
      <c r="F310" t="inlineStr">
        <is>
          <t>SKÅNE LÄN</t>
        </is>
      </c>
      <c r="G310" t="inlineStr">
        <is>
          <t>ÖSTRA GÖINGE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44853</v>
      </c>
      <c r="E311" s="1" t="n">
        <v>46273</v>
      </c>
      <c r="F311" t="inlineStr">
        <is>
          <t>SKÅNE LÄN</t>
        </is>
      </c>
      <c r="G311" t="inlineStr">
        <is>
          <t>ÖSTRA GÖINGE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45198</v>
      </c>
      <c r="E312" s="1" t="n">
        <v>46273</v>
      </c>
      <c r="F312" t="inlineStr">
        <is>
          <t>SKÅNE LÄN</t>
        </is>
      </c>
      <c r="G312" t="inlineStr">
        <is>
          <t>ÖSTRA GÖINGE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30111-2026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46206</v>
      </c>
      <c r="E313" s="1" t="n">
        <v>46273</v>
      </c>
      <c r="F313" t="inlineStr">
        <is>
          <t>SKÅNE LÄN</t>
        </is>
      </c>
      <c r="G313" t="inlineStr">
        <is>
          <t>ÖSTRA GÖINGE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46273</v>
      </c>
      <c r="F314" t="inlineStr">
        <is>
          <t>SKÅNE LÄN</t>
        </is>
      </c>
      <c r="G314" t="inlineStr">
        <is>
          <t>ÖSTRA GÖINGE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44840</v>
      </c>
      <c r="E315" s="1" t="n">
        <v>46273</v>
      </c>
      <c r="F315" t="inlineStr">
        <is>
          <t>SKÅNE LÄN</t>
        </is>
      </c>
      <c r="G315" t="inlineStr">
        <is>
          <t>ÖSTRA GÖINGE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46273</v>
      </c>
      <c r="F316" t="inlineStr">
        <is>
          <t>SKÅNE LÄN</t>
        </is>
      </c>
      <c r="G316" t="inlineStr">
        <is>
          <t>ÖSTRA GÖINGE</t>
        </is>
      </c>
      <c r="I316" t="n">
        <v>11.9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46273</v>
      </c>
      <c r="F317" t="inlineStr">
        <is>
          <t>SKÅNE LÄN</t>
        </is>
      </c>
      <c r="G317" t="inlineStr">
        <is>
          <t>ÖSTRA GÖINGE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46273</v>
      </c>
      <c r="F318" t="inlineStr">
        <is>
          <t>SKÅNE LÄN</t>
        </is>
      </c>
      <c r="G318" t="inlineStr">
        <is>
          <t>ÖSTRA GÖINGE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45203</v>
      </c>
      <c r="E319" s="1" t="n">
        <v>46273</v>
      </c>
      <c r="F319" t="inlineStr">
        <is>
          <t>SKÅNE LÄN</t>
        </is>
      </c>
      <c r="G319" t="inlineStr">
        <is>
          <t>ÖSTRA GÖINGE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46273</v>
      </c>
      <c r="F320" t="inlineStr">
        <is>
          <t>SKÅNE LÄN</t>
        </is>
      </c>
      <c r="G320" t="inlineStr">
        <is>
          <t>ÖSTRA GÖINGE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45274</v>
      </c>
      <c r="E321" s="1" t="n">
        <v>46273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46273</v>
      </c>
      <c r="F322" t="inlineStr">
        <is>
          <t>SKÅNE LÄN</t>
        </is>
      </c>
      <c r="G322" t="inlineStr">
        <is>
          <t>ÖSTRA GÖINGE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46273</v>
      </c>
      <c r="F323" t="inlineStr">
        <is>
          <t>SKÅNE LÄN</t>
        </is>
      </c>
      <c r="G323" t="inlineStr">
        <is>
          <t>ÖSTRA GÖINGE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46273</v>
      </c>
      <c r="F324" t="inlineStr">
        <is>
          <t>SKÅNE LÄN</t>
        </is>
      </c>
      <c r="G324" t="inlineStr">
        <is>
          <t>ÖSTRA GÖINGE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46273</v>
      </c>
      <c r="F325" t="inlineStr">
        <is>
          <t>SKÅNE LÄN</t>
        </is>
      </c>
      <c r="G325" t="inlineStr">
        <is>
          <t>ÖSTRA GÖINGE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45330</v>
      </c>
      <c r="E326" s="1" t="n">
        <v>46273</v>
      </c>
      <c r="F326" t="inlineStr">
        <is>
          <t>SKÅNE LÄN</t>
        </is>
      </c>
      <c r="G326" t="inlineStr">
        <is>
          <t>ÖSTRA GÖINGE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46273</v>
      </c>
      <c r="F327" t="inlineStr">
        <is>
          <t>SKÅNE LÄN</t>
        </is>
      </c>
      <c r="G327" t="inlineStr">
        <is>
          <t>ÖSTRA GÖINGE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45349</v>
      </c>
      <c r="E328" s="1" t="n">
        <v>46273</v>
      </c>
      <c r="F328" t="inlineStr">
        <is>
          <t>SKÅNE LÄN</t>
        </is>
      </c>
      <c r="G328" t="inlineStr">
        <is>
          <t>ÖSTRA GÖINGE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46273</v>
      </c>
      <c r="F329" t="inlineStr">
        <is>
          <t>SKÅNE LÄN</t>
        </is>
      </c>
      <c r="G329" t="inlineStr">
        <is>
          <t>ÖSTRA GÖINGE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45726</v>
      </c>
      <c r="E330" s="1" t="n">
        <v>46273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24028-2022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44723</v>
      </c>
      <c r="E331" s="1" t="n">
        <v>46273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46273</v>
      </c>
      <c r="F332" t="inlineStr">
        <is>
          <t>SKÅNE LÄN</t>
        </is>
      </c>
      <c r="G332" t="inlineStr">
        <is>
          <t>ÖSTRA GÖINGE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46273</v>
      </c>
      <c r="F333" t="inlineStr">
        <is>
          <t>SKÅNE LÄN</t>
        </is>
      </c>
      <c r="G333" t="inlineStr">
        <is>
          <t>ÖSTRA GÖINGE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46273</v>
      </c>
      <c r="F334" t="inlineStr">
        <is>
          <t>SKÅNE LÄN</t>
        </is>
      </c>
      <c r="G334" t="inlineStr">
        <is>
          <t>ÖSTRA GÖINGE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46273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34840-2026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46258</v>
      </c>
      <c r="E336" s="1" t="n">
        <v>46273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46273</v>
      </c>
      <c r="F337" t="inlineStr">
        <is>
          <t>SKÅNE LÄN</t>
        </is>
      </c>
      <c r="G337" t="inlineStr">
        <is>
          <t>ÖSTRA GÖINGE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45259</v>
      </c>
      <c r="E338" s="1" t="n">
        <v>46273</v>
      </c>
      <c r="F338" t="inlineStr">
        <is>
          <t>SKÅNE LÄN</t>
        </is>
      </c>
      <c r="G338" t="inlineStr">
        <is>
          <t>ÖSTRA GÖINGE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71747-2021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44539</v>
      </c>
      <c r="E339" s="1" t="n">
        <v>46273</v>
      </c>
      <c r="F339" t="inlineStr">
        <is>
          <t>SKÅNE LÄN</t>
        </is>
      </c>
      <c r="G339" t="inlineStr">
        <is>
          <t>ÖSTRA GÖINGE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63167-2023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45273</v>
      </c>
      <c r="E340" s="1" t="n">
        <v>46273</v>
      </c>
      <c r="F340" t="inlineStr">
        <is>
          <t>SKÅNE LÄN</t>
        </is>
      </c>
      <c r="G340" t="inlineStr">
        <is>
          <t>ÖSTRA GÖINGE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44937</v>
      </c>
      <c r="E341" s="1" t="n">
        <v>46273</v>
      </c>
      <c r="F341" t="inlineStr">
        <is>
          <t>SKÅNE LÄN</t>
        </is>
      </c>
      <c r="G341" t="inlineStr">
        <is>
          <t>ÖSTRA GÖINGE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46265</v>
      </c>
      <c r="E342" s="1" t="n">
        <v>46273</v>
      </c>
      <c r="F342" t="inlineStr">
        <is>
          <t>SKÅNE LÄN</t>
        </is>
      </c>
      <c r="G342" t="inlineStr">
        <is>
          <t>ÖSTRA GÖINGE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46273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34924-2022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44796</v>
      </c>
      <c r="E344" s="1" t="n">
        <v>46273</v>
      </c>
      <c r="F344" t="inlineStr">
        <is>
          <t>SKÅNE LÄN</t>
        </is>
      </c>
      <c r="G344" t="inlineStr">
        <is>
          <t>ÖSTRA GÖINGE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64181-2023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45279</v>
      </c>
      <c r="E345" s="1" t="n">
        <v>46273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46273</v>
      </c>
      <c r="F346" t="inlineStr">
        <is>
          <t>SKÅNE LÄN</t>
        </is>
      </c>
      <c r="G346" t="inlineStr">
        <is>
          <t>ÖSTRA GÖINGE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46273</v>
      </c>
      <c r="F347" t="inlineStr">
        <is>
          <t>SKÅNE LÄN</t>
        </is>
      </c>
      <c r="G347" t="inlineStr">
        <is>
          <t>ÖSTRA GÖINGE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46273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46273</v>
      </c>
      <c r="F349" t="inlineStr">
        <is>
          <t>SKÅNE LÄN</t>
        </is>
      </c>
      <c r="G349" t="inlineStr">
        <is>
          <t>ÖSTRA GÖINGE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19236-2026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46273</v>
      </c>
      <c r="F350" t="inlineStr">
        <is>
          <t>SKÅNE LÄN</t>
        </is>
      </c>
      <c r="G350" t="inlineStr">
        <is>
          <t>ÖSTRA GÖINGE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46269</v>
      </c>
      <c r="E351" s="1" t="n">
        <v>46273</v>
      </c>
      <c r="F351" t="inlineStr">
        <is>
          <t>SKÅNE LÄN</t>
        </is>
      </c>
      <c r="G351" t="inlineStr">
        <is>
          <t>ÖSTRA GÖINGE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46273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46273</v>
      </c>
      <c r="F353" t="inlineStr">
        <is>
          <t>SKÅNE LÄN</t>
        </is>
      </c>
      <c r="G353" t="inlineStr">
        <is>
          <t>ÖSTRA GÖINGE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46273</v>
      </c>
      <c r="F354" t="inlineStr">
        <is>
          <t>SKÅNE LÄN</t>
        </is>
      </c>
      <c r="G354" t="inlineStr">
        <is>
          <t>ÖSTRA GÖINGE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46273</v>
      </c>
      <c r="F355" t="inlineStr">
        <is>
          <t>SKÅNE LÄN</t>
        </is>
      </c>
      <c r="G355" t="inlineStr">
        <is>
          <t>ÖSTRA GÖINGE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66526-2021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44519</v>
      </c>
      <c r="E356" s="1" t="n">
        <v>46273</v>
      </c>
      <c r="F356" t="inlineStr">
        <is>
          <t>SKÅNE LÄN</t>
        </is>
      </c>
      <c r="G356" t="inlineStr">
        <is>
          <t>ÖSTRA GÖINGE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54973-2025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45967</v>
      </c>
      <c r="E357" s="1" t="n">
        <v>46273</v>
      </c>
      <c r="F357" t="inlineStr">
        <is>
          <t>SKÅNE LÄN</t>
        </is>
      </c>
      <c r="G357" t="inlineStr">
        <is>
          <t>ÖSTRA GÖINGE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45804</v>
      </c>
      <c r="E358" s="1" t="n">
        <v>46273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44606</v>
      </c>
      <c r="E359" s="1" t="n">
        <v>46273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45874</v>
      </c>
      <c r="E360" s="1" t="n">
        <v>46273</v>
      </c>
      <c r="F360" t="inlineStr">
        <is>
          <t>SKÅNE LÄN</t>
        </is>
      </c>
      <c r="G360" t="inlineStr">
        <is>
          <t>ÖSTRA GÖINGE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46273</v>
      </c>
      <c r="F361" t="inlineStr">
        <is>
          <t>SKÅNE LÄN</t>
        </is>
      </c>
      <c r="G361" t="inlineStr">
        <is>
          <t>ÖSTRA GÖINGE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44852</v>
      </c>
      <c r="E362" s="1" t="n">
        <v>46273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46273</v>
      </c>
      <c r="F363" t="inlineStr">
        <is>
          <t>SKÅNE LÄN</t>
        </is>
      </c>
      <c r="G363" t="inlineStr">
        <is>
          <t>ÖSTRA GÖINGE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46273</v>
      </c>
      <c r="F364" t="inlineStr">
        <is>
          <t>SKÅNE LÄN</t>
        </is>
      </c>
      <c r="G364" t="inlineStr">
        <is>
          <t>ÖSTRA GÖINGE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45475</v>
      </c>
      <c r="E365" s="1" t="n">
        <v>46273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10937-2022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44627</v>
      </c>
      <c r="E366" s="1" t="n">
        <v>46273</v>
      </c>
      <c r="F366" t="inlineStr">
        <is>
          <t>SKÅNE LÄN</t>
        </is>
      </c>
      <c r="G366" t="inlineStr">
        <is>
          <t>ÖSTRA GÖINGE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46273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46273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46273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45141</v>
      </c>
      <c r="E370" s="1" t="n">
        <v>46273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44602</v>
      </c>
      <c r="E371" s="1" t="n">
        <v>46273</v>
      </c>
      <c r="F371" t="inlineStr">
        <is>
          <t>SKÅNE LÄN</t>
        </is>
      </c>
      <c r="G371" t="inlineStr">
        <is>
          <t>ÖSTRA GÖINGE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46273</v>
      </c>
      <c r="F372" t="inlineStr">
        <is>
          <t>SKÅNE LÄN</t>
        </is>
      </c>
      <c r="G372" t="inlineStr">
        <is>
          <t>ÖSTRA GÖINGE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46273</v>
      </c>
      <c r="F373" t="inlineStr">
        <is>
          <t>SKÅNE LÄN</t>
        </is>
      </c>
      <c r="G373" t="inlineStr">
        <is>
          <t>ÖSTRA GÖINGE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46273</v>
      </c>
      <c r="F374" t="inlineStr">
        <is>
          <t>SKÅNE LÄN</t>
        </is>
      </c>
      <c r="G374" t="inlineStr">
        <is>
          <t>ÖSTRA GÖINGE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45568</v>
      </c>
      <c r="E375" s="1" t="n">
        <v>46273</v>
      </c>
      <c r="F375" t="inlineStr">
        <is>
          <t>SKÅNE LÄN</t>
        </is>
      </c>
      <c r="G375" t="inlineStr">
        <is>
          <t>ÖSTRA GÖINGE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44873</v>
      </c>
      <c r="E376" s="1" t="n">
        <v>46273</v>
      </c>
      <c r="F376" t="inlineStr">
        <is>
          <t>SKÅNE LÄN</t>
        </is>
      </c>
      <c r="G376" t="inlineStr">
        <is>
          <t>ÖSTRA GÖINGE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46273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46273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46273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46273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45076</v>
      </c>
      <c r="E381" s="1" t="n">
        <v>46273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46273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46273</v>
      </c>
      <c r="F383" t="inlineStr">
        <is>
          <t>SKÅNE LÄN</t>
        </is>
      </c>
      <c r="G383" t="inlineStr">
        <is>
          <t>ÖSTRA GÖINGE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46273</v>
      </c>
      <c r="F384" t="inlineStr">
        <is>
          <t>SKÅNE LÄN</t>
        </is>
      </c>
      <c r="G384" t="inlineStr">
        <is>
          <t>ÖSTRA GÖINGE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45146</v>
      </c>
      <c r="E385" s="1" t="n">
        <v>46273</v>
      </c>
      <c r="F385" t="inlineStr">
        <is>
          <t>SKÅNE LÄN</t>
        </is>
      </c>
      <c r="G385" t="inlineStr">
        <is>
          <t>ÖSTRA GÖINGE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46273</v>
      </c>
      <c r="F386" t="inlineStr">
        <is>
          <t>SKÅNE LÄN</t>
        </is>
      </c>
      <c r="G386" t="inlineStr">
        <is>
          <t>ÖSTRA GÖINGE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52522-2021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44466</v>
      </c>
      <c r="E387" s="1" t="n">
        <v>46273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46273</v>
      </c>
      <c r="F388" t="inlineStr">
        <is>
          <t>SKÅNE LÄN</t>
        </is>
      </c>
      <c r="G388" t="inlineStr">
        <is>
          <t>ÖSTRA GÖINGE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46273</v>
      </c>
      <c r="F389" t="inlineStr">
        <is>
          <t>SKÅNE LÄN</t>
        </is>
      </c>
      <c r="G389" t="inlineStr">
        <is>
          <t>ÖSTRA GÖINGE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45735</v>
      </c>
      <c r="E390" s="1" t="n">
        <v>46273</v>
      </c>
      <c r="F390" t="inlineStr">
        <is>
          <t>SKÅNE LÄN</t>
        </is>
      </c>
      <c r="G390" t="inlineStr">
        <is>
          <t>ÖSTRA GÖINGE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45405</v>
      </c>
      <c r="E391" s="1" t="n">
        <v>46273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46273</v>
      </c>
      <c r="F392" t="inlineStr">
        <is>
          <t>SKÅNE LÄN</t>
        </is>
      </c>
      <c r="G392" t="inlineStr">
        <is>
          <t>ÖSTRA GÖINGE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46273</v>
      </c>
      <c r="F393" t="inlineStr">
        <is>
          <t>SKÅNE LÄN</t>
        </is>
      </c>
      <c r="G393" t="inlineStr">
        <is>
          <t>ÖSTRA GÖINGE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44977</v>
      </c>
      <c r="E394" s="1" t="n">
        <v>46273</v>
      </c>
      <c r="F394" t="inlineStr">
        <is>
          <t>SKÅNE LÄN</t>
        </is>
      </c>
      <c r="G394" t="inlineStr">
        <is>
          <t>ÖSTRA GÖINGE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46273</v>
      </c>
      <c r="F395" t="inlineStr">
        <is>
          <t>SKÅNE LÄN</t>
        </is>
      </c>
      <c r="G395" t="inlineStr">
        <is>
          <t>ÖSTRA GÖINGE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46273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46273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46273</v>
      </c>
      <c r="F398" t="inlineStr">
        <is>
          <t>SKÅNE LÄN</t>
        </is>
      </c>
      <c r="G398" t="inlineStr">
        <is>
          <t>ÖSTRA GÖINGE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46273</v>
      </c>
      <c r="F399" t="inlineStr">
        <is>
          <t>SKÅNE LÄN</t>
        </is>
      </c>
      <c r="G399" t="inlineStr">
        <is>
          <t>ÖSTRA GÖINGE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19068-2025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45765</v>
      </c>
      <c r="E400" s="1" t="n">
        <v>46273</v>
      </c>
      <c r="F400" t="inlineStr">
        <is>
          <t>SKÅNE LÄN</t>
        </is>
      </c>
      <c r="G400" t="inlineStr">
        <is>
          <t>ÖSTRA GÖINGE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45373</v>
      </c>
      <c r="E401" s="1" t="n">
        <v>46273</v>
      </c>
      <c r="F401" t="inlineStr">
        <is>
          <t>SKÅNE LÄN</t>
        </is>
      </c>
      <c r="G401" t="inlineStr">
        <is>
          <t>ÖSTRA GÖINGE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45331</v>
      </c>
      <c r="E402" s="1" t="n">
        <v>46273</v>
      </c>
      <c r="F402" t="inlineStr">
        <is>
          <t>SKÅNE LÄN</t>
        </is>
      </c>
      <c r="G402" t="inlineStr">
        <is>
          <t>ÖSTRA GÖINGE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27322-2022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44742</v>
      </c>
      <c r="E403" s="1" t="n">
        <v>46273</v>
      </c>
      <c r="F403" t="inlineStr">
        <is>
          <t>SKÅNE LÄN</t>
        </is>
      </c>
      <c r="G403" t="inlineStr">
        <is>
          <t>ÖSTRA GÖINGE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45321</v>
      </c>
      <c r="E404" s="1" t="n">
        <v>46273</v>
      </c>
      <c r="F404" t="inlineStr">
        <is>
          <t>SKÅNE LÄN</t>
        </is>
      </c>
      <c r="G404" t="inlineStr">
        <is>
          <t>ÖSTRA GÖINGE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45205</v>
      </c>
      <c r="E405" s="1" t="n">
        <v>46273</v>
      </c>
      <c r="F405" t="inlineStr">
        <is>
          <t>SKÅNE LÄN</t>
        </is>
      </c>
      <c r="G405" t="inlineStr">
        <is>
          <t>ÖSTRA GÖINGE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44593</v>
      </c>
      <c r="E406" s="1" t="n">
        <v>46273</v>
      </c>
      <c r="F406" t="inlineStr">
        <is>
          <t>SKÅNE LÄN</t>
        </is>
      </c>
      <c r="G406" t="inlineStr">
        <is>
          <t>ÖSTRA GÖINGE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58279-2024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46273</v>
      </c>
      <c r="F407" t="inlineStr">
        <is>
          <t>SKÅNE LÄN</t>
        </is>
      </c>
      <c r="G407" t="inlineStr">
        <is>
          <t>ÖSTRA GÖINGE</t>
        </is>
      </c>
      <c r="I407" t="n">
        <v>9.4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45443</v>
      </c>
      <c r="E408" s="1" t="n">
        <v>46273</v>
      </c>
      <c r="F408" t="inlineStr">
        <is>
          <t>SKÅNE LÄN</t>
        </is>
      </c>
      <c r="G408" t="inlineStr">
        <is>
          <t>ÖSTRA GÖINGE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45307</v>
      </c>
      <c r="E409" s="1" t="n">
        <v>46273</v>
      </c>
      <c r="F409" t="inlineStr">
        <is>
          <t>SKÅNE LÄN</t>
        </is>
      </c>
      <c r="G409" t="inlineStr">
        <is>
          <t>ÖSTRA GÖINGE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45680</v>
      </c>
      <c r="E410" s="1" t="n">
        <v>46273</v>
      </c>
      <c r="F410" t="inlineStr">
        <is>
          <t>SKÅNE LÄN</t>
        </is>
      </c>
      <c r="G410" t="inlineStr">
        <is>
          <t>ÖSTRA GÖINGE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46273</v>
      </c>
      <c r="F411" t="inlineStr">
        <is>
          <t>SKÅNE LÄN</t>
        </is>
      </c>
      <c r="G411" t="inlineStr">
        <is>
          <t>ÖSTRA GÖINGE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47591-2023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46273</v>
      </c>
      <c r="F412" t="inlineStr">
        <is>
          <t>SKÅNE LÄN</t>
        </is>
      </c>
      <c r="G412" t="inlineStr">
        <is>
          <t>ÖSTRA GÖINGE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46273</v>
      </c>
      <c r="F413" t="inlineStr">
        <is>
          <t>SKÅNE LÄN</t>
        </is>
      </c>
      <c r="G413" t="inlineStr">
        <is>
          <t>ÖSTRA GÖINGE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45727</v>
      </c>
      <c r="E414" s="1" t="n">
        <v>46273</v>
      </c>
      <c r="F414" t="inlineStr">
        <is>
          <t>SKÅNE LÄN</t>
        </is>
      </c>
      <c r="G414" t="inlineStr">
        <is>
          <t>ÖSTRA GÖINGE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42313-2024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45562</v>
      </c>
      <c r="E415" s="1" t="n">
        <v>46273</v>
      </c>
      <c r="F415" t="inlineStr">
        <is>
          <t>SKÅNE LÄN</t>
        </is>
      </c>
      <c r="G415" t="inlineStr">
        <is>
          <t>ÖSTRA GÖINGE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46273</v>
      </c>
      <c r="F416" t="inlineStr">
        <is>
          <t>SKÅNE LÄN</t>
        </is>
      </c>
      <c r="G416" t="inlineStr">
        <is>
          <t>ÖSTRA GÖINGE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58518-2024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45635</v>
      </c>
      <c r="E417" s="1" t="n">
        <v>46273</v>
      </c>
      <c r="F417" t="inlineStr">
        <is>
          <t>SKÅNE LÄN</t>
        </is>
      </c>
      <c r="G417" t="inlineStr">
        <is>
          <t>ÖSTRA GÖINGE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46273</v>
      </c>
      <c r="F418" t="inlineStr">
        <is>
          <t>SKÅNE LÄN</t>
        </is>
      </c>
      <c r="G418" t="inlineStr">
        <is>
          <t>ÖSTRA GÖINGE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46273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45489</v>
      </c>
      <c r="E420" s="1" t="n">
        <v>46273</v>
      </c>
      <c r="F420" t="inlineStr">
        <is>
          <t>SKÅNE LÄN</t>
        </is>
      </c>
      <c r="G420" t="inlineStr">
        <is>
          <t>ÖSTRA GÖINGE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45638</v>
      </c>
      <c r="E421" s="1" t="n">
        <v>46273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46273</v>
      </c>
      <c r="F422" t="inlineStr">
        <is>
          <t>SKÅNE LÄN</t>
        </is>
      </c>
      <c r="G422" t="inlineStr">
        <is>
          <t>ÖSTRA GÖINGE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46273</v>
      </c>
      <c r="F423" t="inlineStr">
        <is>
          <t>SKÅNE LÄN</t>
        </is>
      </c>
      <c r="G423" t="inlineStr">
        <is>
          <t>ÖSTRA GÖINGE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45564</v>
      </c>
      <c r="E424" s="1" t="n">
        <v>46273</v>
      </c>
      <c r="F424" t="inlineStr">
        <is>
          <t>SKÅNE LÄN</t>
        </is>
      </c>
      <c r="G424" t="inlineStr">
        <is>
          <t>ÖSTRA GÖINGE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46273</v>
      </c>
      <c r="F425" t="inlineStr">
        <is>
          <t>SKÅNE LÄN</t>
        </is>
      </c>
      <c r="G425" t="inlineStr">
        <is>
          <t>ÖSTRA GÖINGE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45686</v>
      </c>
      <c r="E426" s="1" t="n">
        <v>46273</v>
      </c>
      <c r="F426" t="inlineStr">
        <is>
          <t>SKÅNE LÄN</t>
        </is>
      </c>
      <c r="G426" t="inlineStr">
        <is>
          <t>ÖSTRA GÖINGE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60504-2024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46273</v>
      </c>
      <c r="F427" t="inlineStr">
        <is>
          <t>SKÅNE LÄN</t>
        </is>
      </c>
      <c r="G427" t="inlineStr">
        <is>
          <t>ÖSTRA GÖINGE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46273</v>
      </c>
      <c r="F428" t="inlineStr">
        <is>
          <t>SKÅNE LÄN</t>
        </is>
      </c>
      <c r="G428" t="inlineStr">
        <is>
          <t>ÖSTRA GÖINGE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45797</v>
      </c>
      <c r="E429" s="1" t="n">
        <v>46273</v>
      </c>
      <c r="F429" t="inlineStr">
        <is>
          <t>SKÅNE LÄN</t>
        </is>
      </c>
      <c r="G429" t="inlineStr">
        <is>
          <t>ÖSTRA GÖINGE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45544</v>
      </c>
      <c r="E430" s="1" t="n">
        <v>46273</v>
      </c>
      <c r="F430" t="inlineStr">
        <is>
          <t>SKÅNE LÄN</t>
        </is>
      </c>
      <c r="G430" t="inlineStr">
        <is>
          <t>ÖSTRA GÖINGE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46273</v>
      </c>
      <c r="F431" t="inlineStr">
        <is>
          <t>SKÅNE LÄN</t>
        </is>
      </c>
      <c r="G431" t="inlineStr">
        <is>
          <t>ÖSTRA GÖINGE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39934-2024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45553</v>
      </c>
      <c r="E432" s="1" t="n">
        <v>46273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46273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46273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46273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46273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46273</v>
      </c>
      <c r="F437" t="inlineStr">
        <is>
          <t>SKÅNE LÄN</t>
        </is>
      </c>
      <c r="G437" t="inlineStr">
        <is>
          <t>ÖSTRA GÖINGE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46273</v>
      </c>
      <c r="F438" t="inlineStr">
        <is>
          <t>SKÅNE LÄN</t>
        </is>
      </c>
      <c r="G438" t="inlineStr">
        <is>
          <t>ÖSTRA GÖINGE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46273</v>
      </c>
      <c r="F439" t="inlineStr">
        <is>
          <t>SKÅNE LÄN</t>
        </is>
      </c>
      <c r="G439" t="inlineStr">
        <is>
          <t>ÖSTRA GÖINGE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46273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46273</v>
      </c>
      <c r="F441" t="inlineStr">
        <is>
          <t>SKÅNE LÄN</t>
        </is>
      </c>
      <c r="G441" t="inlineStr">
        <is>
          <t>ÖSTRA GÖINGE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45848</v>
      </c>
      <c r="E442" s="1" t="n">
        <v>46273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46273</v>
      </c>
      <c r="F443" t="inlineStr">
        <is>
          <t>SKÅNE LÄN</t>
        </is>
      </c>
      <c r="G443" t="inlineStr">
        <is>
          <t>ÖSTRA GÖINGE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46273</v>
      </c>
      <c r="F444" t="inlineStr">
        <is>
          <t>SKÅNE LÄN</t>
        </is>
      </c>
      <c r="G444" t="inlineStr">
        <is>
          <t>ÖSTRA GÖINGE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46273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46273</v>
      </c>
      <c r="F446" t="inlineStr">
        <is>
          <t>SKÅNE LÄN</t>
        </is>
      </c>
      <c r="G446" t="inlineStr">
        <is>
          <t>ÖSTRA GÖINGE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35547-2023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45146</v>
      </c>
      <c r="E447" s="1" t="n">
        <v>46273</v>
      </c>
      <c r="F447" t="inlineStr">
        <is>
          <t>SKÅNE LÄN</t>
        </is>
      </c>
      <c r="G447" t="inlineStr">
        <is>
          <t>ÖSTRA GÖINGE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46273</v>
      </c>
      <c r="F448" t="inlineStr">
        <is>
          <t>SKÅNE LÄN</t>
        </is>
      </c>
      <c r="G448" t="inlineStr">
        <is>
          <t>ÖSTRA GÖINGE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46273</v>
      </c>
      <c r="F449" t="inlineStr">
        <is>
          <t>SKÅNE LÄN</t>
        </is>
      </c>
      <c r="G449" t="inlineStr">
        <is>
          <t>ÖSTRA GÖINGE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46273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46273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2600-2022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46273</v>
      </c>
      <c r="F452" t="inlineStr">
        <is>
          <t>SKÅNE LÄN</t>
        </is>
      </c>
      <c r="G452" t="inlineStr">
        <is>
          <t>ÖSTRA GÖINGE</t>
        </is>
      </c>
      <c r="I452" t="n">
        <v>12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2602-2022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44698</v>
      </c>
      <c r="E453" s="1" t="n">
        <v>46273</v>
      </c>
      <c r="F453" t="inlineStr">
        <is>
          <t>SKÅNE LÄN</t>
        </is>
      </c>
      <c r="G453" t="inlineStr">
        <is>
          <t>ÖSTRA GÖINGE</t>
        </is>
      </c>
      <c r="I453" t="n">
        <v>18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2143-2022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44676</v>
      </c>
      <c r="E454" s="1" t="n">
        <v>46273</v>
      </c>
      <c r="F454" t="inlineStr">
        <is>
          <t>SKÅNE LÄN</t>
        </is>
      </c>
      <c r="G454" t="inlineStr">
        <is>
          <t>ÖSTRA GÖINGE</t>
        </is>
      </c>
      <c r="I454" t="n">
        <v>9.699999999999999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444-2022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46273</v>
      </c>
      <c r="F455" t="inlineStr">
        <is>
          <t>SKÅNE LÄN</t>
        </is>
      </c>
      <c r="G455" t="inlineStr">
        <is>
          <t>ÖSTRA GÖINGE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450-2022</t>
        </is>
      </c>
      <c r="B456" t="inlineStr">
        <is>
          <t>samrådsanmälan</t>
        </is>
      </c>
      <c r="C456" t="inlineStr">
        <is>
          <t>Åtgärd i nyckelbiotop</t>
        </is>
      </c>
      <c r="D456" s="1" t="n">
        <v>44586</v>
      </c>
      <c r="E456" s="1" t="n">
        <v>46273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90-2024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45301</v>
      </c>
      <c r="E457" s="1" t="n">
        <v>46273</v>
      </c>
      <c r="F457" t="inlineStr">
        <is>
          <t>SKÅNE LÄN</t>
        </is>
      </c>
      <c r="G457" t="inlineStr">
        <is>
          <t>ÖSTRA GÖINGE</t>
        </is>
      </c>
      <c r="I457" t="n">
        <v>53.6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2502-2023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45124</v>
      </c>
      <c r="E458" s="1" t="n">
        <v>46273</v>
      </c>
      <c r="F458" t="inlineStr">
        <is>
          <t>SKÅNE LÄN</t>
        </is>
      </c>
      <c r="G458" t="inlineStr">
        <is>
          <t>ÖSTRA GÖINGE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46273</v>
      </c>
      <c r="F459" t="inlineStr">
        <is>
          <t>SKÅNE LÄN</t>
        </is>
      </c>
      <c r="G459" t="inlineStr">
        <is>
          <t>ÖSTRA GÖINGE</t>
        </is>
      </c>
      <c r="I459" t="n">
        <v>43.3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371-2024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45330</v>
      </c>
      <c r="E460" s="1" t="n">
        <v>46273</v>
      </c>
      <c r="F460" t="inlineStr">
        <is>
          <t>SKÅNE LÄN</t>
        </is>
      </c>
      <c r="G460" t="inlineStr">
        <is>
          <t>ÖSTRA GÖINGE</t>
        </is>
      </c>
      <c r="I460" t="n">
        <v>19.2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642-2023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44973</v>
      </c>
      <c r="E461" s="1" t="n">
        <v>46273</v>
      </c>
      <c r="F461" t="inlineStr">
        <is>
          <t>SKÅNE LÄN</t>
        </is>
      </c>
      <c r="G461" t="inlineStr">
        <is>
          <t>ÖSTRA GÖINGE</t>
        </is>
      </c>
      <c r="I461" t="n">
        <v>20.4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573-2024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46273</v>
      </c>
      <c r="F462" t="inlineStr">
        <is>
          <t>SKÅNE LÄN</t>
        </is>
      </c>
      <c r="G462" t="inlineStr">
        <is>
          <t>ÖSTRA GÖINGE</t>
        </is>
      </c>
      <c r="I462" t="n">
        <v>24.3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3997-2024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45569</v>
      </c>
      <c r="E463" s="1" t="n">
        <v>46273</v>
      </c>
      <c r="F463" t="inlineStr">
        <is>
          <t>SKÅNE LÄN</t>
        </is>
      </c>
      <c r="G463" t="inlineStr">
        <is>
          <t>ÖSTRA GÖINGE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568-2024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46273</v>
      </c>
      <c r="F464" t="inlineStr">
        <is>
          <t>SKÅNE LÄN</t>
        </is>
      </c>
      <c r="G464" t="inlineStr">
        <is>
          <t>ÖSTRA GÖINGE</t>
        </is>
      </c>
      <c r="I464" t="n">
        <v>21.2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46273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46273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46273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5662-2022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44841</v>
      </c>
      <c r="E468" s="1" t="n">
        <v>46273</v>
      </c>
      <c r="F468" t="inlineStr">
        <is>
          <t>SKÅNE LÄN</t>
        </is>
      </c>
      <c r="G468" t="inlineStr">
        <is>
          <t>ÖSTRA GÖINGE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3566-2023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45202</v>
      </c>
      <c r="E469" s="1" t="n">
        <v>46273</v>
      </c>
      <c r="F469" t="inlineStr">
        <is>
          <t>SKÅNE LÄN</t>
        </is>
      </c>
      <c r="G469" t="inlineStr">
        <is>
          <t>ÖSTRA GÖINGE</t>
        </is>
      </c>
      <c r="I469" t="n">
        <v>24.5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5137-2024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45645</v>
      </c>
      <c r="E470" s="1" t="n">
        <v>46273</v>
      </c>
      <c r="F470" t="inlineStr">
        <is>
          <t>SKÅNE LÄN</t>
        </is>
      </c>
      <c r="G470" t="inlineStr">
        <is>
          <t>ÖSTRA GÖINGE</t>
        </is>
      </c>
      <c r="I470" t="n">
        <v>48.8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6355-2021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44448</v>
      </c>
      <c r="E471" s="1" t="n">
        <v>46273</v>
      </c>
      <c r="F471" t="inlineStr">
        <is>
          <t>SKÅNE LÄN</t>
        </is>
      </c>
      <c r="G471" t="inlineStr">
        <is>
          <t>ÖSTRA GÖINGE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5026-2024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45635</v>
      </c>
      <c r="E472" s="1" t="n">
        <v>46273</v>
      </c>
      <c r="F472" t="inlineStr">
        <is>
          <t>SKÅNE LÄN</t>
        </is>
      </c>
      <c r="G472" t="inlineStr">
        <is>
          <t>ÖSTRA GÖINGE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3730-2022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44742</v>
      </c>
      <c r="E473" s="1" t="n">
        <v>46273</v>
      </c>
      <c r="F473" t="inlineStr">
        <is>
          <t>SKÅNE LÄN</t>
        </is>
      </c>
      <c r="G473" t="inlineStr">
        <is>
          <t>ÖSTRA GÖINGE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3484-2023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45205</v>
      </c>
      <c r="E474" s="1" t="n">
        <v>46273</v>
      </c>
      <c r="F474" t="inlineStr">
        <is>
          <t>SKÅNE LÄN</t>
        </is>
      </c>
      <c r="G474" t="inlineStr">
        <is>
          <t>ÖSTRA GÖINGE</t>
        </is>
      </c>
      <c r="I474" t="n">
        <v>15.7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1223-2025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45761</v>
      </c>
      <c r="E475" s="1" t="n">
        <v>46273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1305-2025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45770</v>
      </c>
      <c r="E476" s="1" t="n">
        <v>46273</v>
      </c>
      <c r="F476" t="inlineStr">
        <is>
          <t>SKÅNE LÄN</t>
        </is>
      </c>
      <c r="G476" t="inlineStr">
        <is>
          <t>ÖSTRA GÖINGE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625-2025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45714</v>
      </c>
      <c r="E477" s="1" t="n">
        <v>46273</v>
      </c>
      <c r="F477" t="inlineStr">
        <is>
          <t>SKÅNE LÄN</t>
        </is>
      </c>
      <c r="G477" t="inlineStr">
        <is>
          <t>ÖSTRA GÖINGE</t>
        </is>
      </c>
      <c r="I477" t="n">
        <v>93.59999999999999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649-2025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45715</v>
      </c>
      <c r="E478" s="1" t="n">
        <v>46273</v>
      </c>
      <c r="F478" t="inlineStr">
        <is>
          <t>SKÅNE LÄN</t>
        </is>
      </c>
      <c r="G478" t="inlineStr">
        <is>
          <t>ÖSTRA GÖINGE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451-2025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45701</v>
      </c>
      <c r="E479" s="1" t="n">
        <v>46273</v>
      </c>
      <c r="F479" t="inlineStr">
        <is>
          <t>SKÅNE LÄN</t>
        </is>
      </c>
      <c r="G479" t="inlineStr">
        <is>
          <t>ÖSTRA GÖINGE</t>
        </is>
      </c>
      <c r="I479" t="n">
        <v>17.7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252-2025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45684</v>
      </c>
      <c r="E480" s="1" t="n">
        <v>46273</v>
      </c>
      <c r="F480" t="inlineStr">
        <is>
          <t>SKÅNE LÄN</t>
        </is>
      </c>
      <c r="G480" t="inlineStr">
        <is>
          <t>ÖSTRA GÖINGE</t>
        </is>
      </c>
      <c r="I480" t="n">
        <v>20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885-2025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45735</v>
      </c>
      <c r="E481" s="1" t="n">
        <v>46273</v>
      </c>
      <c r="F481" t="inlineStr">
        <is>
          <t>SKÅNE LÄN</t>
        </is>
      </c>
      <c r="G481" t="inlineStr">
        <is>
          <t>ÖSTRA GÖINGE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1703-2025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45805</v>
      </c>
      <c r="E482" s="1" t="n">
        <v>46273</v>
      </c>
      <c r="F482" t="inlineStr">
        <is>
          <t>SKÅNE LÄN</t>
        </is>
      </c>
      <c r="G482" t="inlineStr">
        <is>
          <t>ÖSTRA GÖINGE</t>
        </is>
      </c>
      <c r="I482" t="n">
        <v>21.2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2712-2025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46273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2711-2025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46273</v>
      </c>
      <c r="F484" t="inlineStr">
        <is>
          <t>SKÅNE LÄN</t>
        </is>
      </c>
      <c r="G484" t="inlineStr">
        <is>
          <t>ÖSTRA GÖINGE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3154-2025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46273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3153-2025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46273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46273</v>
      </c>
      <c r="F487" t="inlineStr">
        <is>
          <t>SKÅNE LÄN</t>
        </is>
      </c>
      <c r="G487" t="inlineStr">
        <is>
          <t>ÖSTRA GÖINGE</t>
        </is>
      </c>
      <c r="I487" t="n">
        <v>14.3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46273</v>
      </c>
      <c r="F488" t="inlineStr">
        <is>
          <t>SKÅNE LÄN</t>
        </is>
      </c>
      <c r="G488" t="inlineStr">
        <is>
          <t>ÖSTRA GÖINGE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509-2026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46077</v>
      </c>
      <c r="E489" s="1" t="n">
        <v>46273</v>
      </c>
      <c r="F489" t="inlineStr">
        <is>
          <t>SKÅNE LÄN</t>
        </is>
      </c>
      <c r="G489" t="inlineStr">
        <is>
          <t>ÖSTRA GÖINGE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816-2026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46104</v>
      </c>
      <c r="E490" s="1" t="n">
        <v>46273</v>
      </c>
      <c r="F490" t="inlineStr">
        <is>
          <t>SKÅNE LÄN</t>
        </is>
      </c>
      <c r="G490" t="inlineStr">
        <is>
          <t>ÖSTRA GÖINGE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1410-2026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46155</v>
      </c>
      <c r="E491" s="1" t="n">
        <v>46273</v>
      </c>
      <c r="F491" t="inlineStr">
        <is>
          <t>SKÅNE LÄN</t>
        </is>
      </c>
      <c r="G491" t="inlineStr">
        <is>
          <t>ÖSTRA GÖINGE</t>
        </is>
      </c>
      <c r="I491" t="n">
        <v>18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2026-09-08T02:05:53Z</dcterms:created>
  <dcterms:modified xmlns:dcterms="http://purl.org/dc/terms/" xmlns:xsi="http://www.w3.org/2001/XMLSchema-instance" xsi:type="dcterms:W3CDTF">2026-09-08T02:05:54Z</dcterms:modified>
</cp:coreProperties>
</file>