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46261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46261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22740-2026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46157</v>
      </c>
      <c r="E10" s="1" t="n">
        <v>46261</v>
      </c>
      <c r="F10" t="inlineStr">
        <is>
          <t>SKÅNE LÄN</t>
        </is>
      </c>
      <c r="G10" t="inlineStr">
        <is>
          <t>ÖSTRA GÖINGE</t>
        </is>
      </c>
      <c r="I10" t="n">
        <v>0.5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Havstulpanlav
Rostfläck
Glansfläck</t>
        </is>
      </c>
      <c r="W10">
        <f>HYPERLINK("https://klasma.github.io/Logging_1256/artfynd/A 22740-2026 artfynd.xlsx", "A 22740-2026")</f>
        <v/>
      </c>
      <c r="X10">
        <f>HYPERLINK("https://klasma.github.io/Logging_1256/kartor/A 22740-2026 karta.png", "A 22740-2026")</f>
        <v/>
      </c>
      <c r="Y10">
        <f>HYPERLINK("https://klasma.github.io/Logging_1256/kartor_geotiff/A 22740-2026 georefererad karta.tif", "A 22740-2026")</f>
        <v/>
      </c>
      <c r="AA10">
        <f>HYPERLINK("https://klasma.github.io/Logging_1256/klagomål/A 22740-2026 FSC-klagomål.docx", "A 22740-2026")</f>
        <v/>
      </c>
      <c r="AB10">
        <f>HYPERLINK("https://klasma.github.io/Logging_1256/klagomålsmail/A 22740-2026 FSC-klagomål mail.docx", "A 22740-2026")</f>
        <v/>
      </c>
      <c r="AC10">
        <f>HYPERLINK("https://klasma.github.io/Logging_1256/tillsyn/A 22740-2026 tillsynsbegäran.docx", "A 22740-2026")</f>
        <v/>
      </c>
      <c r="AD10">
        <f>HYPERLINK("https://klasma.github.io/Logging_1256/tillsynsmail/A 22740-2026 tillsynsbegäran mail.docx", "A 22740-2026")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46261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46261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46261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46261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46261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46261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46261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46261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46261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46261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46261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46261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34340-2025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46261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34340-2025 artfynd.xlsx", "A 34340-2025")</f>
        <v/>
      </c>
      <c r="X23">
        <f>HYPERLINK("https://klasma.github.io/Logging_1256/kartor/A 34340-2025 karta.png", "A 34340-2025")</f>
        <v/>
      </c>
      <c r="Y23">
        <f>HYPERLINK("https://klasma.github.io/Logging_1256/kartor_geotiff/A 34340-2025 georefererad karta.tif", "A 34340-2025")</f>
        <v/>
      </c>
      <c r="AA23">
        <f>HYPERLINK("https://klasma.github.io/Logging_1256/klagomål/A 34340-2025 FSC-klagomål.docx", "A 34340-2025")</f>
        <v/>
      </c>
      <c r="AB23">
        <f>HYPERLINK("https://klasma.github.io/Logging_1256/klagomålsmail/A 34340-2025 FSC-klagomål mail.docx", "A 34340-2025")</f>
        <v/>
      </c>
      <c r="AC23">
        <f>HYPERLINK("https://klasma.github.io/Logging_1256/tillsyn/A 34340-2025 tillsynsbegäran.docx", "A 34340-2025")</f>
        <v/>
      </c>
      <c r="AD23">
        <f>HYPERLINK("https://klasma.github.io/Logging_1256/tillsynsmail/A 34340-2025 tillsynsbegäran mail.docx", "A 34340-2025")</f>
        <v/>
      </c>
      <c r="AE23">
        <f>HYPERLINK("https://klasma.github.io/Logging_1256/fåglar/A 34340-2025 prioriterade fågelarter.docx", "A 34340-2025")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46261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46261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46261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46261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46261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46261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46261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46261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46261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4383-2024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45327</v>
      </c>
      <c r="E40" s="1" t="n">
        <v>46261</v>
      </c>
      <c r="F40" t="inlineStr">
        <is>
          <t>SKÅNE LÄN</t>
        </is>
      </c>
      <c r="G40" t="inlineStr">
        <is>
          <t>ÖSTRA GÖINGE</t>
        </is>
      </c>
      <c r="I40" t="n">
        <v>2.2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4383-2024 artfynd.xlsx", "A 4383-2024")</f>
        <v/>
      </c>
      <c r="X40">
        <f>HYPERLINK("https://klasma.github.io/Logging_1256/kartor/A 4383-2024 karta.png", "A 4383-2024")</f>
        <v/>
      </c>
      <c r="Y40">
        <f>HYPERLINK("https://klasma.github.io/Logging_1256/kartor_geotiff/A 4383-2024 georefererad karta.tif", "A 4383-2024")</f>
        <v/>
      </c>
      <c r="AA40">
        <f>HYPERLINK("https://klasma.github.io/Logging_1256/klagomål/A 4383-2024 FSC-klagomål.docx", "A 4383-2024")</f>
        <v/>
      </c>
      <c r="AB40">
        <f>HYPERLINK("https://klasma.github.io/Logging_1256/klagomålsmail/A 4383-2024 FSC-klagomål mail.docx", "A 4383-2024")</f>
        <v/>
      </c>
      <c r="AC40">
        <f>HYPERLINK("https://klasma.github.io/Logging_1256/tillsyn/A 4383-2024 tillsynsbegäran.docx", "A 4383-2024")</f>
        <v/>
      </c>
      <c r="AD40">
        <f>HYPERLINK("https://klasma.github.io/Logging_1256/tillsynsmail/A 4383-2024 tillsynsbegäran mail.docx", "A 4383-2024")</f>
        <v/>
      </c>
    </row>
    <row r="41" ht="15" customHeight="1">
      <c r="A41" t="inlineStr">
        <is>
          <t>A 35037-2024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46261</v>
      </c>
      <c r="F41" t="inlineStr">
        <is>
          <t>SKÅNE LÄN</t>
        </is>
      </c>
      <c r="G41" t="inlineStr">
        <is>
          <t>ÖSTRA GÖINGE</t>
        </is>
      </c>
      <c r="I41" t="n">
        <v>12.6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35037-2024 artfynd.xlsx", "A 35037-2024")</f>
        <v/>
      </c>
      <c r="X41">
        <f>HYPERLINK("https://klasma.github.io/Logging_1256/kartor/A 35037-2024 karta.png", "A 35037-2024")</f>
        <v/>
      </c>
      <c r="Y41">
        <f>HYPERLINK("https://klasma.github.io/Logging_1256/kartor_geotiff/A 35037-2024 georefererad karta.tif", "A 35037-2024")</f>
        <v/>
      </c>
      <c r="AA41">
        <f>HYPERLINK("https://klasma.github.io/Logging_1256/klagomål/A 35037-2024 FSC-klagomål.docx", "A 35037-2024")</f>
        <v/>
      </c>
      <c r="AB41">
        <f>HYPERLINK("https://klasma.github.io/Logging_1256/klagomålsmail/A 35037-2024 FSC-klagomål mail.docx", "A 35037-2024")</f>
        <v/>
      </c>
      <c r="AC41">
        <f>HYPERLINK("https://klasma.github.io/Logging_1256/tillsyn/A 35037-2024 tillsynsbegäran.docx", "A 35037-2024")</f>
        <v/>
      </c>
      <c r="AD41">
        <f>HYPERLINK("https://klasma.github.io/Logging_1256/tillsynsmail/A 35037-2024 tillsynsbegäran mail.docx", "A 35037-2024")</f>
        <v/>
      </c>
    </row>
    <row r="42" ht="15" customHeight="1">
      <c r="A42" t="inlineStr">
        <is>
          <t>A 34344-2025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45846</v>
      </c>
      <c r="E42" s="1" t="n">
        <v>46261</v>
      </c>
      <c r="F42" t="inlineStr">
        <is>
          <t>SKÅNE LÄN</t>
        </is>
      </c>
      <c r="G42" t="inlineStr">
        <is>
          <t>ÖSTRA GÖINGE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Huggorm</t>
        </is>
      </c>
      <c r="W42">
        <f>HYPERLINK("https://klasma.github.io/Logging_1256/artfynd/A 34344-2025 artfynd.xlsx", "A 34344-2025")</f>
        <v/>
      </c>
      <c r="X42">
        <f>HYPERLINK("https://klasma.github.io/Logging_1256/kartor/A 34344-2025 karta.png", "A 34344-2025")</f>
        <v/>
      </c>
      <c r="Y42">
        <f>HYPERLINK("https://klasma.github.io/Logging_1256/kartor_geotiff/A 34344-2025 georefererad karta.tif", "A 34344-2025")</f>
        <v/>
      </c>
      <c r="AA42">
        <f>HYPERLINK("https://klasma.github.io/Logging_1256/klagomål/A 34344-2025 FSC-klagomål.docx", "A 34344-2025")</f>
        <v/>
      </c>
      <c r="AB42">
        <f>HYPERLINK("https://klasma.github.io/Logging_1256/klagomålsmail/A 34344-2025 FSC-klagomål mail.docx", "A 34344-2025")</f>
        <v/>
      </c>
      <c r="AC42">
        <f>HYPERLINK("https://klasma.github.io/Logging_1256/tillsyn/A 34344-2025 tillsynsbegäran.docx", "A 34344-2025")</f>
        <v/>
      </c>
      <c r="AD42">
        <f>HYPERLINK("https://klasma.github.io/Logging_1256/tillsynsmail/A 34344-2025 tillsynsbegäran mail.docx", "A 34344-2025")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46261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46261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16668-2023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46261</v>
      </c>
      <c r="F45" t="inlineStr">
        <is>
          <t>SKÅNE LÄN</t>
        </is>
      </c>
      <c r="G45" t="inlineStr">
        <is>
          <t>ÖSTRA GÖINGE</t>
        </is>
      </c>
      <c r="I45" t="n">
        <v>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hackspett</t>
        </is>
      </c>
      <c r="W45">
        <f>HYPERLINK("https://klasma.github.io/Logging_1256/artfynd/A 16668-2023 artfynd.xlsx", "A 16668-2023")</f>
        <v/>
      </c>
      <c r="X45">
        <f>HYPERLINK("https://klasma.github.io/Logging_1256/kartor/A 16668-2023 karta.png", "A 16668-2023")</f>
        <v/>
      </c>
      <c r="Y45">
        <f>HYPERLINK("https://klasma.github.io/Logging_1256/kartor_geotiff/A 16668-2023 georefererad karta.tif", "A 16668-2023")</f>
        <v/>
      </c>
      <c r="AA45">
        <f>HYPERLINK("https://klasma.github.io/Logging_1256/klagomål/A 16668-2023 FSC-klagomål.docx", "A 16668-2023")</f>
        <v/>
      </c>
      <c r="AB45">
        <f>HYPERLINK("https://klasma.github.io/Logging_1256/klagomålsmail/A 16668-2023 FSC-klagomål mail.docx", "A 16668-2023")</f>
        <v/>
      </c>
      <c r="AC45">
        <f>HYPERLINK("https://klasma.github.io/Logging_1256/tillsyn/A 16668-2023 tillsynsbegäran.docx", "A 16668-2023")</f>
        <v/>
      </c>
      <c r="AD45">
        <f>HYPERLINK("https://klasma.github.io/Logging_1256/tillsynsmail/A 16668-2023 tillsynsbegäran mail.docx", "A 16668-2023")</f>
        <v/>
      </c>
      <c r="AE45">
        <f>HYPERLINK("https://klasma.github.io/Logging_1256/fåglar/A 16668-2023 prioriterade fågelarter.docx", "A 16668-2023")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46261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45359-2023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45192</v>
      </c>
      <c r="E47" s="1" t="n">
        <v>46261</v>
      </c>
      <c r="F47" t="inlineStr">
        <is>
          <t>SKÅNE LÄN</t>
        </is>
      </c>
      <c r="G47" t="inlineStr">
        <is>
          <t>ÖSTRA GÖINGE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HYPERLINK("https://klasma.github.io/Logging_1256/artfynd/A 45359-2023 artfynd.xlsx", "A 45359-2023")</f>
        <v/>
      </c>
      <c r="X47">
        <f>HYPERLINK("https://klasma.github.io/Logging_1256/kartor/A 45359-2023 karta.png", "A 45359-2023")</f>
        <v/>
      </c>
      <c r="Y47">
        <f>HYPERLINK("https://klasma.github.io/Logging_1256/kartor_geotiff/A 45359-2023 georefererad karta.tif", "A 45359-2023")</f>
        <v/>
      </c>
      <c r="AA47">
        <f>HYPERLINK("https://klasma.github.io/Logging_1256/klagomål/A 45359-2023 FSC-klagomål.docx", "A 45359-2023")</f>
        <v/>
      </c>
      <c r="AB47">
        <f>HYPERLINK("https://klasma.github.io/Logging_1256/klagomålsmail/A 45359-2023 FSC-klagomål mail.docx", "A 45359-2023")</f>
        <v/>
      </c>
      <c r="AC47">
        <f>HYPERLINK("https://klasma.github.io/Logging_1256/tillsyn/A 45359-2023 tillsynsbegäran.docx", "A 45359-2023")</f>
        <v/>
      </c>
      <c r="AD47">
        <f>HYPERLINK("https://klasma.github.io/Logging_1256/tillsynsmail/A 45359-2023 tillsynsbegäran mail.docx", "A 45359-2023")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46261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46261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46261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4386-2024 artfynd.xlsx", "A 4386-2024")</f>
        <v/>
      </c>
      <c r="X50">
        <f>HYPERLINK("https://klasma.github.io/Logging_1256/kartor/A 4386-2024 karta.png", "A 4386-2024")</f>
        <v/>
      </c>
      <c r="Y50">
        <f>HYPERLINK("https://klasma.github.io/Logging_1256/kartor_geotiff/A 4386-2024 georefererad karta.tif", "A 4386-2024")</f>
        <v/>
      </c>
      <c r="AA50">
        <f>HYPERLINK("https://klasma.github.io/Logging_1256/klagomål/A 4386-2024 FSC-klagomål.docx", "A 4386-2024")</f>
        <v/>
      </c>
      <c r="AB50">
        <f>HYPERLINK("https://klasma.github.io/Logging_1256/klagomålsmail/A 4386-2024 FSC-klagomål mail.docx", "A 4386-2024")</f>
        <v/>
      </c>
      <c r="AC50">
        <f>HYPERLINK("https://klasma.github.io/Logging_1256/tillsyn/A 4386-2024 tillsynsbegäran.docx", "A 4386-2024")</f>
        <v/>
      </c>
      <c r="AD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46261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46261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HYPERLINK("https://klasma.github.io/Logging_1256/artfynd/A 4892-2023 artfynd.xlsx", "A 4892-2023")</f>
        <v/>
      </c>
      <c r="X52">
        <f>HYPERLINK("https://klasma.github.io/Logging_1256/kartor/A 4892-2023 karta.png", "A 4892-2023")</f>
        <v/>
      </c>
      <c r="Y52">
        <f>HYPERLINK("https://klasma.github.io/Logging_1256/kartor_geotiff/A 4892-2023 georefererad karta.tif", "A 4892-2023")</f>
        <v/>
      </c>
      <c r="AA52">
        <f>HYPERLINK("https://klasma.github.io/Logging_1256/klagomål/A 4892-2023 FSC-klagomål.docx", "A 4892-2023")</f>
        <v/>
      </c>
      <c r="AB52">
        <f>HYPERLINK("https://klasma.github.io/Logging_1256/klagomålsmail/A 4892-2023 FSC-klagomål mail.docx", "A 4892-2023")</f>
        <v/>
      </c>
      <c r="AC52">
        <f>HYPERLINK("https://klasma.github.io/Logging_1256/tillsyn/A 4892-2023 tillsynsbegäran.docx", "A 4892-2023")</f>
        <v/>
      </c>
      <c r="AD52">
        <f>HYPERLINK("https://klasma.github.io/Logging_1256/tillsynsmail/A 4892-2023 tillsynsbegäran mail.docx", "A 4892-2023")</f>
        <v/>
      </c>
      <c r="AE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46261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46261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46261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46261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46261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46261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46261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46261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46261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46261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46261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46261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46261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46261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46261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46261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46261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46261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46261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46261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46261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46261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46261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46261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46261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46261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46261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46261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46261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46261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46261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46261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46261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46261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46261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46261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46261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46261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44810</v>
      </c>
      <c r="E105" s="1" t="n">
        <v>46261</v>
      </c>
      <c r="F105" t="inlineStr">
        <is>
          <t>SKÅNE LÄN</t>
        </is>
      </c>
      <c r="G105" t="inlineStr">
        <is>
          <t>ÖSTRA GÖINGE</t>
        </is>
      </c>
      <c r="H105" t="inlineStr">
        <is>
          <t>Kyrkan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45310</v>
      </c>
      <c r="E106" s="1" t="n">
        <v>46261</v>
      </c>
      <c r="F106" t="inlineStr">
        <is>
          <t>SKÅNE LÄN</t>
        </is>
      </c>
      <c r="G106" t="inlineStr">
        <is>
          <t>ÖSTRA GÖINGE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46261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46261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44764-2021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46261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46261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46261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46261</v>
      </c>
      <c r="F112" t="inlineStr">
        <is>
          <t>SKÅNE LÄN</t>
        </is>
      </c>
      <c r="G112" t="inlineStr">
        <is>
          <t>ÖSTRA GÖINGE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46261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46261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46261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46261</v>
      </c>
      <c r="F116" t="inlineStr">
        <is>
          <t>SKÅNE LÄN</t>
        </is>
      </c>
      <c r="G116" t="inlineStr">
        <is>
          <t>ÖSTRA GÖINGE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46261</v>
      </c>
      <c r="F117" t="inlineStr">
        <is>
          <t>SKÅNE LÄN</t>
        </is>
      </c>
      <c r="G117" t="inlineStr">
        <is>
          <t>ÖSTRA GÖINGE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46261</v>
      </c>
      <c r="F118" t="inlineStr">
        <is>
          <t>SKÅNE LÄN</t>
        </is>
      </c>
      <c r="G118" t="inlineStr">
        <is>
          <t>ÖSTRA GÖINGE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46261</v>
      </c>
      <c r="F119" t="inlineStr">
        <is>
          <t>SKÅNE LÄN</t>
        </is>
      </c>
      <c r="G119" t="inlineStr">
        <is>
          <t>ÖSTRA GÖINGE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46261</v>
      </c>
      <c r="F120" t="inlineStr">
        <is>
          <t>SKÅNE LÄN</t>
        </is>
      </c>
      <c r="G120" t="inlineStr">
        <is>
          <t>ÖSTRA GÖINGE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46261</v>
      </c>
      <c r="F121" t="inlineStr">
        <is>
          <t>SKÅNE LÄN</t>
        </is>
      </c>
      <c r="G121" t="inlineStr">
        <is>
          <t>ÖSTRA GÖINGE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46261</v>
      </c>
      <c r="F122" t="inlineStr">
        <is>
          <t>SKÅNE LÄN</t>
        </is>
      </c>
      <c r="G122" t="inlineStr">
        <is>
          <t>ÖSTRA GÖINGE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46261</v>
      </c>
      <c r="F123" t="inlineStr">
        <is>
          <t>SKÅNE LÄN</t>
        </is>
      </c>
      <c r="G123" t="inlineStr">
        <is>
          <t>ÖSTRA GÖINGE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46261</v>
      </c>
      <c r="F124" t="inlineStr">
        <is>
          <t>SKÅNE LÄN</t>
        </is>
      </c>
      <c r="G124" t="inlineStr">
        <is>
          <t>ÖSTRA GÖINGE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46261</v>
      </c>
      <c r="F125" t="inlineStr">
        <is>
          <t>SKÅNE LÄN</t>
        </is>
      </c>
      <c r="G125" t="inlineStr">
        <is>
          <t>ÖSTRA GÖINGE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46261</v>
      </c>
      <c r="F126" t="inlineStr">
        <is>
          <t>SKÅNE LÄN</t>
        </is>
      </c>
      <c r="G126" t="inlineStr">
        <is>
          <t>ÖSTRA GÖINGE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46261</v>
      </c>
      <c r="F127" t="inlineStr">
        <is>
          <t>SKÅNE LÄN</t>
        </is>
      </c>
      <c r="G127" t="inlineStr">
        <is>
          <t>ÖSTRA GÖINGE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46261</v>
      </c>
      <c r="F128" t="inlineStr">
        <is>
          <t>SKÅNE LÄN</t>
        </is>
      </c>
      <c r="G128" t="inlineStr">
        <is>
          <t>ÖSTRA GÖINGE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46261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46261</v>
      </c>
      <c r="F130" t="inlineStr">
        <is>
          <t>SKÅNE LÄN</t>
        </is>
      </c>
      <c r="G130" t="inlineStr">
        <is>
          <t>ÖSTRA GÖINGE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45139</v>
      </c>
      <c r="E131" s="1" t="n">
        <v>46261</v>
      </c>
      <c r="F131" t="inlineStr">
        <is>
          <t>SKÅNE LÄN</t>
        </is>
      </c>
      <c r="G131" t="inlineStr">
        <is>
          <t>ÖSTRA GÖINGE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46261</v>
      </c>
      <c r="F132" t="inlineStr">
        <is>
          <t>SKÅNE LÄN</t>
        </is>
      </c>
      <c r="G132" t="inlineStr">
        <is>
          <t>ÖSTRA GÖINGE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45797</v>
      </c>
      <c r="E133" s="1" t="n">
        <v>46261</v>
      </c>
      <c r="F133" t="inlineStr">
        <is>
          <t>SKÅNE LÄN</t>
        </is>
      </c>
      <c r="G133" t="inlineStr">
        <is>
          <t>ÖSTRA GÖINGE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46261</v>
      </c>
      <c r="F134" t="inlineStr">
        <is>
          <t>SKÅNE LÄN</t>
        </is>
      </c>
      <c r="G134" t="inlineStr">
        <is>
          <t>ÖSTRA GÖINGE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46261</v>
      </c>
      <c r="F135" t="inlineStr">
        <is>
          <t>SKÅNE LÄN</t>
        </is>
      </c>
      <c r="G135" t="inlineStr">
        <is>
          <t>ÖSTRA GÖINGE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46261</v>
      </c>
      <c r="F136" t="inlineStr">
        <is>
          <t>SKÅNE LÄN</t>
        </is>
      </c>
      <c r="G136" t="inlineStr">
        <is>
          <t>ÖSTRA GÖINGE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46261</v>
      </c>
      <c r="F137" t="inlineStr">
        <is>
          <t>SKÅNE LÄN</t>
        </is>
      </c>
      <c r="G137" t="inlineStr">
        <is>
          <t>ÖSTRA GÖINGE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46261</v>
      </c>
      <c r="F138" t="inlineStr">
        <is>
          <t>SKÅNE LÄN</t>
        </is>
      </c>
      <c r="G138" t="inlineStr">
        <is>
          <t>ÖSTRA GÖINGE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69383-2021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44531</v>
      </c>
      <c r="E139" s="1" t="n">
        <v>46261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69390-2021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44531</v>
      </c>
      <c r="E140" s="1" t="n">
        <v>46261</v>
      </c>
      <c r="F140" t="inlineStr">
        <is>
          <t>SKÅNE LÄN</t>
        </is>
      </c>
      <c r="G140" t="inlineStr">
        <is>
          <t>ÖSTRA GÖINGE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46261</v>
      </c>
      <c r="F141" t="inlineStr">
        <is>
          <t>SKÅNE LÄN</t>
        </is>
      </c>
      <c r="G141" t="inlineStr">
        <is>
          <t>ÖSTRA GÖINGE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46261</v>
      </c>
      <c r="F142" t="inlineStr">
        <is>
          <t>SKÅNE LÄN</t>
        </is>
      </c>
      <c r="G142" t="inlineStr">
        <is>
          <t>ÖSTRA GÖINGE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46261</v>
      </c>
      <c r="F143" t="inlineStr">
        <is>
          <t>SKÅNE LÄN</t>
        </is>
      </c>
      <c r="G143" t="inlineStr">
        <is>
          <t>ÖSTRA GÖINGE</t>
        </is>
      </c>
      <c r="H143" t="inlineStr">
        <is>
          <t>Kyrkan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53688-2024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46261</v>
      </c>
      <c r="F144" t="inlineStr">
        <is>
          <t>SKÅNE LÄN</t>
        </is>
      </c>
      <c r="G144" t="inlineStr">
        <is>
          <t>ÖSTRA GÖINGE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52930-2021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44467</v>
      </c>
      <c r="E145" s="1" t="n">
        <v>46261</v>
      </c>
      <c r="F145" t="inlineStr">
        <is>
          <t>SKÅNE LÄN</t>
        </is>
      </c>
      <c r="G145" t="inlineStr">
        <is>
          <t>ÖSTRA GÖINGE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46261</v>
      </c>
      <c r="F146" t="inlineStr">
        <is>
          <t>SKÅNE LÄN</t>
        </is>
      </c>
      <c r="G146" t="inlineStr">
        <is>
          <t>ÖSTRA GÖINGE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46261</v>
      </c>
      <c r="F147" t="inlineStr">
        <is>
          <t>SKÅNE LÄN</t>
        </is>
      </c>
      <c r="G147" t="inlineStr">
        <is>
          <t>ÖSTRA GÖINGE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46261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7057-2026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46057</v>
      </c>
      <c r="E149" s="1" t="n">
        <v>46261</v>
      </c>
      <c r="F149" t="inlineStr">
        <is>
          <t>SKÅNE LÄN</t>
        </is>
      </c>
      <c r="G149" t="inlineStr">
        <is>
          <t>ÖSTRA GÖINGE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45821</v>
      </c>
      <c r="E150" s="1" t="n">
        <v>46261</v>
      </c>
      <c r="F150" t="inlineStr">
        <is>
          <t>SKÅNE LÄN</t>
        </is>
      </c>
      <c r="G150" t="inlineStr">
        <is>
          <t>ÖSTRA GÖINGE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46261</v>
      </c>
      <c r="F151" t="inlineStr">
        <is>
          <t>SKÅNE LÄN</t>
        </is>
      </c>
      <c r="G151" t="inlineStr">
        <is>
          <t>ÖSTRA GÖINGE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46261</v>
      </c>
      <c r="F152" t="inlineStr">
        <is>
          <t>SKÅNE LÄN</t>
        </is>
      </c>
      <c r="G152" t="inlineStr">
        <is>
          <t>ÖSTRA GÖINGE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46261</v>
      </c>
      <c r="F153" t="inlineStr">
        <is>
          <t>SKÅNE LÄN</t>
        </is>
      </c>
      <c r="G153" t="inlineStr">
        <is>
          <t>ÖSTRA GÖINGE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46261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46261</v>
      </c>
      <c r="F155" t="inlineStr">
        <is>
          <t>SKÅNE LÄN</t>
        </is>
      </c>
      <c r="G155" t="inlineStr">
        <is>
          <t>ÖSTRA GÖINGE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46261</v>
      </c>
      <c r="F156" t="inlineStr">
        <is>
          <t>SKÅNE LÄN</t>
        </is>
      </c>
      <c r="G156" t="inlineStr">
        <is>
          <t>ÖSTRA GÖINGE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46261</v>
      </c>
      <c r="F157" t="inlineStr">
        <is>
          <t>SKÅNE LÄN</t>
        </is>
      </c>
      <c r="G157" t="inlineStr">
        <is>
          <t>ÖSTRA GÖINGE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46261</v>
      </c>
      <c r="F158" t="inlineStr">
        <is>
          <t>SKÅNE LÄN</t>
        </is>
      </c>
      <c r="G158" t="inlineStr">
        <is>
          <t>ÖSTRA GÖINGE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46261</v>
      </c>
      <c r="F159" t="inlineStr">
        <is>
          <t>SKÅNE LÄN</t>
        </is>
      </c>
      <c r="G159" t="inlineStr">
        <is>
          <t>ÖSTRA GÖINGE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46261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45856</v>
      </c>
      <c r="E161" s="1" t="n">
        <v>46261</v>
      </c>
      <c r="F161" t="inlineStr">
        <is>
          <t>SKÅNE LÄN</t>
        </is>
      </c>
      <c r="G161" t="inlineStr">
        <is>
          <t>ÖSTRA GÖINGE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45856</v>
      </c>
      <c r="E162" s="1" t="n">
        <v>46261</v>
      </c>
      <c r="F162" t="inlineStr">
        <is>
          <t>SKÅNE LÄN</t>
        </is>
      </c>
      <c r="G162" t="inlineStr">
        <is>
          <t>ÖSTRA GÖINGE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46261</v>
      </c>
      <c r="F163" t="inlineStr">
        <is>
          <t>SKÅNE LÄN</t>
        </is>
      </c>
      <c r="G163" t="inlineStr">
        <is>
          <t>ÖSTRA GÖINGE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46261</v>
      </c>
      <c r="F164" t="inlineStr">
        <is>
          <t>SKÅNE LÄN</t>
        </is>
      </c>
      <c r="G164" t="inlineStr">
        <is>
          <t>ÖSTRA GÖINGE</t>
        </is>
      </c>
      <c r="I164" t="n">
        <v>12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46261</v>
      </c>
      <c r="F165" t="inlineStr">
        <is>
          <t>SKÅNE LÄN</t>
        </is>
      </c>
      <c r="G165" t="inlineStr">
        <is>
          <t>ÖSTRA GÖINGE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46261</v>
      </c>
      <c r="F166" t="inlineStr">
        <is>
          <t>SKÅNE LÄN</t>
        </is>
      </c>
      <c r="G166" t="inlineStr">
        <is>
          <t>ÖSTRA GÖINGE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46261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45667</v>
      </c>
      <c r="E168" s="1" t="n">
        <v>46261</v>
      </c>
      <c r="F168" t="inlineStr">
        <is>
          <t>SKÅNE LÄN</t>
        </is>
      </c>
      <c r="G168" t="inlineStr">
        <is>
          <t>ÖSTRA GÖINGE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45848</v>
      </c>
      <c r="E169" s="1" t="n">
        <v>46261</v>
      </c>
      <c r="F169" t="inlineStr">
        <is>
          <t>SKÅNE LÄN</t>
        </is>
      </c>
      <c r="G169" t="inlineStr">
        <is>
          <t>ÖSTRA GÖINGE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46261</v>
      </c>
      <c r="F170" t="inlineStr">
        <is>
          <t>SKÅNE LÄN</t>
        </is>
      </c>
      <c r="G170" t="inlineStr">
        <is>
          <t>ÖSTRA GÖINGE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45278</v>
      </c>
      <c r="E171" s="1" t="n">
        <v>46261</v>
      </c>
      <c r="F171" t="inlineStr">
        <is>
          <t>SKÅNE LÄN</t>
        </is>
      </c>
      <c r="G171" t="inlineStr">
        <is>
          <t>ÖSTRA GÖINGE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45935</v>
      </c>
      <c r="E172" s="1" t="n">
        <v>46261</v>
      </c>
      <c r="F172" t="inlineStr">
        <is>
          <t>SKÅNE LÄN</t>
        </is>
      </c>
      <c r="G172" t="inlineStr">
        <is>
          <t>ÖSTRA GÖINGE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46261</v>
      </c>
      <c r="F173" t="inlineStr">
        <is>
          <t>SKÅNE LÄN</t>
        </is>
      </c>
      <c r="G173" t="inlineStr">
        <is>
          <t>ÖSTRA GÖINGE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46261</v>
      </c>
      <c r="F174" t="inlineStr">
        <is>
          <t>SKÅNE LÄN</t>
        </is>
      </c>
      <c r="G174" t="inlineStr">
        <is>
          <t>ÖSTRA GÖINGE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46261</v>
      </c>
      <c r="F175" t="inlineStr">
        <is>
          <t>SKÅNE LÄN</t>
        </is>
      </c>
      <c r="G175" t="inlineStr">
        <is>
          <t>ÖSTRA GÖINGE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69393-2021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44531</v>
      </c>
      <c r="E176" s="1" t="n">
        <v>46261</v>
      </c>
      <c r="F176" t="inlineStr">
        <is>
          <t>SKÅNE LÄN</t>
        </is>
      </c>
      <c r="G176" t="inlineStr">
        <is>
          <t>ÖSTRA GÖINGE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35547-2023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45146</v>
      </c>
      <c r="E177" s="1" t="n">
        <v>46261</v>
      </c>
      <c r="F177" t="inlineStr">
        <is>
          <t>SKÅNE LÄN</t>
        </is>
      </c>
      <c r="G177" t="inlineStr">
        <is>
          <t>ÖSTRA GÖINGE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55490-2022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46261</v>
      </c>
      <c r="F178" t="inlineStr">
        <is>
          <t>SKÅNE LÄN</t>
        </is>
      </c>
      <c r="G178" t="inlineStr">
        <is>
          <t>ÖSTRA GÖINGE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46261</v>
      </c>
      <c r="F179" t="inlineStr">
        <is>
          <t>SKÅNE LÄN</t>
        </is>
      </c>
      <c r="G179" t="inlineStr">
        <is>
          <t>ÖSTRA GÖINGE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44992</v>
      </c>
      <c r="E180" s="1" t="n">
        <v>46261</v>
      </c>
      <c r="F180" t="inlineStr">
        <is>
          <t>SKÅNE LÄN</t>
        </is>
      </c>
      <c r="G180" t="inlineStr">
        <is>
          <t>ÖSTRA GÖINGE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46261</v>
      </c>
      <c r="F181" t="inlineStr">
        <is>
          <t>SKÅNE LÄN</t>
        </is>
      </c>
      <c r="G181" t="inlineStr">
        <is>
          <t>ÖSTRA GÖINGE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46261</v>
      </c>
      <c r="F182" t="inlineStr">
        <is>
          <t>SKÅNE LÄN</t>
        </is>
      </c>
      <c r="G182" t="inlineStr">
        <is>
          <t>ÖSTRA GÖINGE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46261</v>
      </c>
      <c r="F183" t="inlineStr">
        <is>
          <t>SKÅNE LÄN</t>
        </is>
      </c>
      <c r="G183" t="inlineStr">
        <is>
          <t>ÖSTRA GÖINGE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44929</v>
      </c>
      <c r="E184" s="1" t="n">
        <v>46261</v>
      </c>
      <c r="F184" t="inlineStr">
        <is>
          <t>SKÅNE LÄN</t>
        </is>
      </c>
      <c r="G184" t="inlineStr">
        <is>
          <t>ÖSTRA GÖINGE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35171-2024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46261</v>
      </c>
      <c r="F185" t="inlineStr">
        <is>
          <t>SKÅNE LÄN</t>
        </is>
      </c>
      <c r="G185" t="inlineStr">
        <is>
          <t>ÖSTRA GÖINGE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45362</v>
      </c>
      <c r="E186" s="1" t="n">
        <v>46261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46261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74142-2021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44557</v>
      </c>
      <c r="E188" s="1" t="n">
        <v>46261</v>
      </c>
      <c r="F188" t="inlineStr">
        <is>
          <t>SKÅNE LÄN</t>
        </is>
      </c>
      <c r="G188" t="inlineStr">
        <is>
          <t>ÖSTRA GÖINGE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46261</v>
      </c>
      <c r="F189" t="inlineStr">
        <is>
          <t>SKÅNE LÄN</t>
        </is>
      </c>
      <c r="G189" t="inlineStr">
        <is>
          <t>ÖSTRA GÖINGE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46261</v>
      </c>
      <c r="F190" t="inlineStr">
        <is>
          <t>SKÅNE LÄN</t>
        </is>
      </c>
      <c r="G190" t="inlineStr">
        <is>
          <t>ÖSTRA GÖINGE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46261</v>
      </c>
      <c r="F191" t="inlineStr">
        <is>
          <t>SKÅNE LÄN</t>
        </is>
      </c>
      <c r="G191" t="inlineStr">
        <is>
          <t>ÖSTRA GÖINGE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46132</v>
      </c>
      <c r="E192" s="1" t="n">
        <v>46261</v>
      </c>
      <c r="F192" t="inlineStr">
        <is>
          <t>SKÅNE LÄN</t>
        </is>
      </c>
      <c r="G192" t="inlineStr">
        <is>
          <t>ÖSTRA GÖINGE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46261</v>
      </c>
      <c r="F193" t="inlineStr">
        <is>
          <t>SKÅNE LÄN</t>
        </is>
      </c>
      <c r="G193" t="inlineStr">
        <is>
          <t>ÖSTRA GÖINGE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46261</v>
      </c>
      <c r="F194" t="inlineStr">
        <is>
          <t>SKÅNE LÄN</t>
        </is>
      </c>
      <c r="G194" t="inlineStr">
        <is>
          <t>ÖSTRA GÖINGE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46132</v>
      </c>
      <c r="E195" s="1" t="n">
        <v>46261</v>
      </c>
      <c r="F195" t="inlineStr">
        <is>
          <t>SKÅNE LÄN</t>
        </is>
      </c>
      <c r="G195" t="inlineStr">
        <is>
          <t>ÖSTRA GÖINGE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46261</v>
      </c>
      <c r="F196" t="inlineStr">
        <is>
          <t>SKÅNE LÄN</t>
        </is>
      </c>
      <c r="G196" t="inlineStr">
        <is>
          <t>ÖSTRA GÖINGE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46261</v>
      </c>
      <c r="F197" t="inlineStr">
        <is>
          <t>SKÅNE LÄN</t>
        </is>
      </c>
      <c r="G197" t="inlineStr">
        <is>
          <t>ÖSTRA GÖINGE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46261</v>
      </c>
      <c r="F198" t="inlineStr">
        <is>
          <t>SKÅNE LÄN</t>
        </is>
      </c>
      <c r="G198" t="inlineStr">
        <is>
          <t>ÖSTRA GÖINGE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46133</v>
      </c>
      <c r="E199" s="1" t="n">
        <v>46261</v>
      </c>
      <c r="F199" t="inlineStr">
        <is>
          <t>SKÅNE LÄN</t>
        </is>
      </c>
      <c r="G199" t="inlineStr">
        <is>
          <t>ÖSTRA GÖINGE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46261</v>
      </c>
      <c r="F200" t="inlineStr">
        <is>
          <t>SKÅNE LÄN</t>
        </is>
      </c>
      <c r="G200" t="inlineStr">
        <is>
          <t>ÖSTRA GÖINGE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46261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46261</v>
      </c>
      <c r="F202" t="inlineStr">
        <is>
          <t>SKÅNE LÄN</t>
        </is>
      </c>
      <c r="G202" t="inlineStr">
        <is>
          <t>ÖSTRA GÖINGE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46261</v>
      </c>
      <c r="F203" t="inlineStr">
        <is>
          <t>SKÅNE LÄN</t>
        </is>
      </c>
      <c r="G203" t="inlineStr">
        <is>
          <t>ÖSTRA GÖINGE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55310-2025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45970</v>
      </c>
      <c r="E204" s="1" t="n">
        <v>46261</v>
      </c>
      <c r="F204" t="inlineStr">
        <is>
          <t>SKÅNE LÄN</t>
        </is>
      </c>
      <c r="G204" t="inlineStr">
        <is>
          <t>ÖSTRA GÖINGE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46261</v>
      </c>
      <c r="F205" t="inlineStr">
        <is>
          <t>SKÅNE LÄN</t>
        </is>
      </c>
      <c r="G205" t="inlineStr">
        <is>
          <t>ÖSTRA GÖINGE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46261</v>
      </c>
      <c r="F206" t="inlineStr">
        <is>
          <t>SKÅNE LÄN</t>
        </is>
      </c>
      <c r="G206" t="inlineStr">
        <is>
          <t>ÖSTRA GÖINGE</t>
        </is>
      </c>
      <c r="H206" t="inlineStr">
        <is>
          <t>Sveaskog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46261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46261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46261</v>
      </c>
      <c r="F209" t="inlineStr">
        <is>
          <t>SKÅNE LÄN</t>
        </is>
      </c>
      <c r="G209" t="inlineStr">
        <is>
          <t>ÖSTRA GÖINGE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45972</v>
      </c>
      <c r="E210" s="1" t="n">
        <v>46261</v>
      </c>
      <c r="F210" t="inlineStr">
        <is>
          <t>SKÅNE LÄN</t>
        </is>
      </c>
      <c r="G210" t="inlineStr">
        <is>
          <t>ÖSTRA GÖINGE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46261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46261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46261</v>
      </c>
      <c r="F213" t="inlineStr">
        <is>
          <t>SKÅNE LÄN</t>
        </is>
      </c>
      <c r="G213" t="inlineStr">
        <is>
          <t>ÖSTRA GÖINGE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46261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45489</v>
      </c>
      <c r="E215" s="1" t="n">
        <v>46261</v>
      </c>
      <c r="F215" t="inlineStr">
        <is>
          <t>SKÅNE LÄN</t>
        </is>
      </c>
      <c r="G215" t="inlineStr">
        <is>
          <t>ÖSTRA GÖINGE</t>
        </is>
      </c>
      <c r="I215" t="n">
        <v>11.9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46261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46261</v>
      </c>
      <c r="F217" t="inlineStr">
        <is>
          <t>SKÅNE LÄN</t>
        </is>
      </c>
      <c r="G217" t="inlineStr">
        <is>
          <t>ÖSTRA GÖINGE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46261</v>
      </c>
      <c r="F218" t="inlineStr">
        <is>
          <t>SKÅNE LÄN</t>
        </is>
      </c>
      <c r="G218" t="inlineStr">
        <is>
          <t>ÖSTRA GÖINGE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46261</v>
      </c>
      <c r="F219" t="inlineStr">
        <is>
          <t>SKÅNE LÄN</t>
        </is>
      </c>
      <c r="G219" t="inlineStr">
        <is>
          <t>ÖSTRA GÖINGE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46261</v>
      </c>
      <c r="F220" t="inlineStr">
        <is>
          <t>SKÅNE LÄN</t>
        </is>
      </c>
      <c r="G220" t="inlineStr">
        <is>
          <t>ÖSTRA GÖINGE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46261</v>
      </c>
      <c r="F221" t="inlineStr">
        <is>
          <t>SKÅNE LÄN</t>
        </is>
      </c>
      <c r="G221" t="inlineStr">
        <is>
          <t>ÖSTRA GÖINGE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46261</v>
      </c>
      <c r="F222" t="inlineStr">
        <is>
          <t>SKÅNE LÄN</t>
        </is>
      </c>
      <c r="G222" t="inlineStr">
        <is>
          <t>ÖSTRA GÖINGE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46261</v>
      </c>
      <c r="F223" t="inlineStr">
        <is>
          <t>SKÅNE LÄN</t>
        </is>
      </c>
      <c r="G223" t="inlineStr">
        <is>
          <t>ÖSTRA GÖINGE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44949</v>
      </c>
      <c r="E224" s="1" t="n">
        <v>46261</v>
      </c>
      <c r="F224" t="inlineStr">
        <is>
          <t>SKÅNE LÄN</t>
        </is>
      </c>
      <c r="G224" t="inlineStr">
        <is>
          <t>ÖSTRA GÖINGE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46261</v>
      </c>
      <c r="F225" t="inlineStr">
        <is>
          <t>SKÅNE LÄN</t>
        </is>
      </c>
      <c r="G225" t="inlineStr">
        <is>
          <t>ÖSTRA GÖINGE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46261</v>
      </c>
      <c r="F226" t="inlineStr">
        <is>
          <t>SKÅNE LÄN</t>
        </is>
      </c>
      <c r="G226" t="inlineStr">
        <is>
          <t>ÖSTRA GÖINGE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46261</v>
      </c>
      <c r="F227" t="inlineStr">
        <is>
          <t>SKÅNE LÄN</t>
        </is>
      </c>
      <c r="G227" t="inlineStr">
        <is>
          <t>ÖSTRA GÖINGE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45993</v>
      </c>
      <c r="E228" s="1" t="n">
        <v>46261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46261</v>
      </c>
      <c r="F229" t="inlineStr">
        <is>
          <t>SKÅNE LÄN</t>
        </is>
      </c>
      <c r="G229" t="inlineStr">
        <is>
          <t>ÖSTRA GÖINGE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46261</v>
      </c>
      <c r="F230" t="inlineStr">
        <is>
          <t>SKÅNE LÄN</t>
        </is>
      </c>
      <c r="G230" t="inlineStr">
        <is>
          <t>ÖSTRA GÖINGE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46261</v>
      </c>
      <c r="F231" t="inlineStr">
        <is>
          <t>SKÅNE LÄN</t>
        </is>
      </c>
      <c r="G231" t="inlineStr">
        <is>
          <t>ÖSTRA GÖINGE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46261</v>
      </c>
      <c r="F232" t="inlineStr">
        <is>
          <t>SKÅNE LÄN</t>
        </is>
      </c>
      <c r="G232" t="inlineStr">
        <is>
          <t>ÖSTRA GÖINGE</t>
        </is>
      </c>
      <c r="I232" t="n">
        <v>8.6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45583</v>
      </c>
      <c r="E233" s="1" t="n">
        <v>46261</v>
      </c>
      <c r="F233" t="inlineStr">
        <is>
          <t>SKÅNE LÄN</t>
        </is>
      </c>
      <c r="G233" t="inlineStr">
        <is>
          <t>ÖSTRA GÖINGE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46261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46261</v>
      </c>
      <c r="F235" t="inlineStr">
        <is>
          <t>SKÅNE LÄN</t>
        </is>
      </c>
      <c r="G235" t="inlineStr">
        <is>
          <t>ÖSTRA GÖINGE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46261</v>
      </c>
      <c r="F236" t="inlineStr">
        <is>
          <t>SKÅNE LÄN</t>
        </is>
      </c>
      <c r="G236" t="inlineStr">
        <is>
          <t>ÖSTRA GÖINGE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46261</v>
      </c>
      <c r="F237" t="inlineStr">
        <is>
          <t>SKÅNE LÄN</t>
        </is>
      </c>
      <c r="G237" t="inlineStr">
        <is>
          <t>ÖSTRA GÖINGE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63154-2025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46261</v>
      </c>
      <c r="F238" t="inlineStr">
        <is>
          <t>SKÅNE LÄN</t>
        </is>
      </c>
      <c r="G238" t="inlineStr">
        <is>
          <t>ÖSTRA GÖINGE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34931-2023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45142</v>
      </c>
      <c r="E239" s="1" t="n">
        <v>46261</v>
      </c>
      <c r="F239" t="inlineStr">
        <is>
          <t>SKÅNE LÄN</t>
        </is>
      </c>
      <c r="G239" t="inlineStr">
        <is>
          <t>ÖSTRA GÖINGE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46261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21260-2026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46147</v>
      </c>
      <c r="E241" s="1" t="n">
        <v>46261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45246</v>
      </c>
      <c r="E242" s="1" t="n">
        <v>46261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44964</v>
      </c>
      <c r="E243" s="1" t="n">
        <v>46261</v>
      </c>
      <c r="F243" t="inlineStr">
        <is>
          <t>SKÅNE LÄN</t>
        </is>
      </c>
      <c r="G243" t="inlineStr">
        <is>
          <t>ÖSTRA GÖINGE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58868-2021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44489</v>
      </c>
      <c r="E244" s="1" t="n">
        <v>46261</v>
      </c>
      <c r="F244" t="inlineStr">
        <is>
          <t>SKÅNE LÄN</t>
        </is>
      </c>
      <c r="G244" t="inlineStr">
        <is>
          <t>ÖSTRA GÖINGE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46261</v>
      </c>
      <c r="F245" t="inlineStr">
        <is>
          <t>SKÅNE LÄN</t>
        </is>
      </c>
      <c r="G245" t="inlineStr">
        <is>
          <t>ÖSTRA GÖINGE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46261</v>
      </c>
      <c r="F246" t="inlineStr">
        <is>
          <t>SKÅNE LÄN</t>
        </is>
      </c>
      <c r="G246" t="inlineStr">
        <is>
          <t>ÖSTRA GÖINGE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36324-2022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44803</v>
      </c>
      <c r="E247" s="1" t="n">
        <v>46261</v>
      </c>
      <c r="F247" t="inlineStr">
        <is>
          <t>SKÅNE LÄN</t>
        </is>
      </c>
      <c r="G247" t="inlineStr">
        <is>
          <t>ÖSTRA GÖINGE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46261</v>
      </c>
      <c r="F248" t="inlineStr">
        <is>
          <t>SKÅNE LÄN</t>
        </is>
      </c>
      <c r="G248" t="inlineStr">
        <is>
          <t>ÖSTRA GÖINGE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59359-2024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46261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59709-2023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45256</v>
      </c>
      <c r="E250" s="1" t="n">
        <v>46261</v>
      </c>
      <c r="F250" t="inlineStr">
        <is>
          <t>SKÅNE LÄN</t>
        </is>
      </c>
      <c r="G250" t="inlineStr">
        <is>
          <t>ÖSTRA GÖINGE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45807</v>
      </c>
      <c r="E251" s="1" t="n">
        <v>46261</v>
      </c>
      <c r="F251" t="inlineStr">
        <is>
          <t>SKÅNE LÄN</t>
        </is>
      </c>
      <c r="G251" t="inlineStr">
        <is>
          <t>ÖSTRA GÖINGE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46261</v>
      </c>
      <c r="F252" t="inlineStr">
        <is>
          <t>SKÅNE LÄN</t>
        </is>
      </c>
      <c r="G252" t="inlineStr">
        <is>
          <t>ÖSTRA GÖINGE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45622</v>
      </c>
      <c r="E253" s="1" t="n">
        <v>46261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46261</v>
      </c>
      <c r="F254" t="inlineStr">
        <is>
          <t>SKÅNE LÄN</t>
        </is>
      </c>
      <c r="G254" t="inlineStr">
        <is>
          <t>ÖSTRA GÖINGE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46261</v>
      </c>
      <c r="F255" t="inlineStr">
        <is>
          <t>SKÅNE LÄN</t>
        </is>
      </c>
      <c r="G255" t="inlineStr">
        <is>
          <t>ÖSTRA GÖINGE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44946</v>
      </c>
      <c r="E256" s="1" t="n">
        <v>46261</v>
      </c>
      <c r="F256" t="inlineStr">
        <is>
          <t>SKÅNE LÄN</t>
        </is>
      </c>
      <c r="G256" t="inlineStr">
        <is>
          <t>ÖSTRA GÖINGE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46261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44958</v>
      </c>
      <c r="E258" s="1" t="n">
        <v>46261</v>
      </c>
      <c r="F258" t="inlineStr">
        <is>
          <t>SKÅNE LÄN</t>
        </is>
      </c>
      <c r="G258" t="inlineStr">
        <is>
          <t>ÖSTRA GÖINGE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45686</v>
      </c>
      <c r="E259" s="1" t="n">
        <v>46261</v>
      </c>
      <c r="F259" t="inlineStr">
        <is>
          <t>SKÅNE LÄN</t>
        </is>
      </c>
      <c r="G259" t="inlineStr">
        <is>
          <t>ÖSTRA GÖINGE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46261</v>
      </c>
      <c r="F260" t="inlineStr">
        <is>
          <t>SKÅNE LÄN</t>
        </is>
      </c>
      <c r="G260" t="inlineStr">
        <is>
          <t>ÖSTRA GÖINGE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46261</v>
      </c>
      <c r="F261" t="inlineStr">
        <is>
          <t>SKÅNE LÄN</t>
        </is>
      </c>
      <c r="G261" t="inlineStr">
        <is>
          <t>ÖSTRA GÖINGE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46261</v>
      </c>
      <c r="F262" t="inlineStr">
        <is>
          <t>SKÅNE LÄN</t>
        </is>
      </c>
      <c r="G262" t="inlineStr">
        <is>
          <t>ÖSTRA GÖINGE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46261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46261</v>
      </c>
      <c r="F264" t="inlineStr">
        <is>
          <t>SKÅNE LÄN</t>
        </is>
      </c>
      <c r="G264" t="inlineStr">
        <is>
          <t>ÖSTRA GÖINGE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46261</v>
      </c>
      <c r="F265" t="inlineStr">
        <is>
          <t>SKÅNE LÄN</t>
        </is>
      </c>
      <c r="G265" t="inlineStr">
        <is>
          <t>ÖSTRA GÖINGE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46261</v>
      </c>
      <c r="F266" t="inlineStr">
        <is>
          <t>SKÅNE LÄN</t>
        </is>
      </c>
      <c r="G266" t="inlineStr">
        <is>
          <t>ÖSTRA GÖINGE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45674</v>
      </c>
      <c r="E267" s="1" t="n">
        <v>46261</v>
      </c>
      <c r="F267" t="inlineStr">
        <is>
          <t>SKÅNE LÄN</t>
        </is>
      </c>
      <c r="G267" t="inlineStr">
        <is>
          <t>ÖSTRA GÖINGE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45727</v>
      </c>
      <c r="E268" s="1" t="n">
        <v>46261</v>
      </c>
      <c r="F268" t="inlineStr">
        <is>
          <t>SKÅNE LÄN</t>
        </is>
      </c>
      <c r="G268" t="inlineStr">
        <is>
          <t>ÖSTRA GÖINGE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45147</v>
      </c>
      <c r="E269" s="1" t="n">
        <v>46261</v>
      </c>
      <c r="F269" t="inlineStr">
        <is>
          <t>SKÅNE LÄN</t>
        </is>
      </c>
      <c r="G269" t="inlineStr">
        <is>
          <t>ÖSTRA GÖINGE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46261</v>
      </c>
      <c r="F270" t="inlineStr">
        <is>
          <t>SKÅNE LÄN</t>
        </is>
      </c>
      <c r="G270" t="inlineStr">
        <is>
          <t>ÖSTRA GÖINGE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46261</v>
      </c>
      <c r="F271" t="inlineStr">
        <is>
          <t>SKÅNE LÄN</t>
        </is>
      </c>
      <c r="G271" t="inlineStr">
        <is>
          <t>ÖSTRA GÖINGE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46261</v>
      </c>
      <c r="F272" t="inlineStr">
        <is>
          <t>SKÅNE LÄN</t>
        </is>
      </c>
      <c r="G272" t="inlineStr">
        <is>
          <t>ÖSTRA GÖINGE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46261</v>
      </c>
      <c r="F273" t="inlineStr">
        <is>
          <t>SKÅNE LÄN</t>
        </is>
      </c>
      <c r="G273" t="inlineStr">
        <is>
          <t>ÖSTRA GÖINGE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46261</v>
      </c>
      <c r="F274" t="inlineStr">
        <is>
          <t>SKÅNE LÄN</t>
        </is>
      </c>
      <c r="G274" t="inlineStr">
        <is>
          <t>ÖSTRA GÖINGE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46182</v>
      </c>
      <c r="E275" s="1" t="n">
        <v>46261</v>
      </c>
      <c r="F275" t="inlineStr">
        <is>
          <t>SKÅNE LÄN</t>
        </is>
      </c>
      <c r="G275" t="inlineStr">
        <is>
          <t>ÖSTRA GÖINGE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46261</v>
      </c>
      <c r="F276" t="inlineStr">
        <is>
          <t>SKÅNE LÄN</t>
        </is>
      </c>
      <c r="G276" t="inlineStr">
        <is>
          <t>ÖSTRA GÖINGE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26468-2026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46261</v>
      </c>
      <c r="F277" t="inlineStr">
        <is>
          <t>SKÅNE LÄN</t>
        </is>
      </c>
      <c r="G277" t="inlineStr">
        <is>
          <t>ÖSTRA GÖINGE</t>
        </is>
      </c>
      <c r="I277" t="n">
        <v>34.5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46183</v>
      </c>
      <c r="E278" s="1" t="n">
        <v>46261</v>
      </c>
      <c r="F278" t="inlineStr">
        <is>
          <t>SKÅNE LÄN</t>
        </is>
      </c>
      <c r="G278" t="inlineStr">
        <is>
          <t>ÖSTRA GÖINGE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46261</v>
      </c>
      <c r="F279" t="inlineStr">
        <is>
          <t>SKÅNE LÄN</t>
        </is>
      </c>
      <c r="G279" t="inlineStr">
        <is>
          <t>ÖSTRA GÖINGE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45443</v>
      </c>
      <c r="E280" s="1" t="n">
        <v>46261</v>
      </c>
      <c r="F280" t="inlineStr">
        <is>
          <t>SKÅNE LÄN</t>
        </is>
      </c>
      <c r="G280" t="inlineStr">
        <is>
          <t>ÖSTRA GÖINGE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46261</v>
      </c>
      <c r="F281" t="inlineStr">
        <is>
          <t>SKÅNE LÄN</t>
        </is>
      </c>
      <c r="G281" t="inlineStr">
        <is>
          <t>ÖSTRA GÖINGE</t>
        </is>
      </c>
      <c r="I281" t="n">
        <v>10.6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46261</v>
      </c>
      <c r="F282" t="inlineStr">
        <is>
          <t>SKÅNE LÄN</t>
        </is>
      </c>
      <c r="G282" t="inlineStr">
        <is>
          <t>ÖSTRA GÖINGE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45203</v>
      </c>
      <c r="E283" s="1" t="n">
        <v>46261</v>
      </c>
      <c r="F283" t="inlineStr">
        <is>
          <t>SKÅNE LÄN</t>
        </is>
      </c>
      <c r="G283" t="inlineStr">
        <is>
          <t>ÖSTRA GÖINGE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50896-2021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44460</v>
      </c>
      <c r="E284" s="1" t="n">
        <v>46261</v>
      </c>
      <c r="F284" t="inlineStr">
        <is>
          <t>SKÅNE LÄN</t>
        </is>
      </c>
      <c r="G284" t="inlineStr">
        <is>
          <t>ÖSTRA GÖINGE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44459</v>
      </c>
      <c r="E285" s="1" t="n">
        <v>46261</v>
      </c>
      <c r="F285" t="inlineStr">
        <is>
          <t>SKÅNE LÄN</t>
        </is>
      </c>
      <c r="G285" t="inlineStr">
        <is>
          <t>ÖSTRA GÖINGE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55140-2022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44886</v>
      </c>
      <c r="E286" s="1" t="n">
        <v>46261</v>
      </c>
      <c r="F286" t="inlineStr">
        <is>
          <t>SKÅNE LÄN</t>
        </is>
      </c>
      <c r="G286" t="inlineStr">
        <is>
          <t>ÖSTRA GÖINGE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46261</v>
      </c>
      <c r="F287" t="inlineStr">
        <is>
          <t>SKÅNE LÄN</t>
        </is>
      </c>
      <c r="G287" t="inlineStr">
        <is>
          <t>ÖSTRA GÖINGE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37056-2024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45539</v>
      </c>
      <c r="E288" s="1" t="n">
        <v>46261</v>
      </c>
      <c r="F288" t="inlineStr">
        <is>
          <t>SKÅNE LÄN</t>
        </is>
      </c>
      <c r="G288" t="inlineStr">
        <is>
          <t>ÖSTRA GÖINGE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46261</v>
      </c>
      <c r="F289" t="inlineStr">
        <is>
          <t>SKÅNE LÄN</t>
        </is>
      </c>
      <c r="G289" t="inlineStr">
        <is>
          <t>ÖSTRA GÖINGE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45268</v>
      </c>
      <c r="E290" s="1" t="n">
        <v>46261</v>
      </c>
      <c r="F290" t="inlineStr">
        <is>
          <t>SKÅNE LÄN</t>
        </is>
      </c>
      <c r="G290" t="inlineStr">
        <is>
          <t>ÖSTRA GÖINGE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62052-2022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44918</v>
      </c>
      <c r="E291" s="1" t="n">
        <v>46261</v>
      </c>
      <c r="F291" t="inlineStr">
        <is>
          <t>SKÅNE LÄN</t>
        </is>
      </c>
      <c r="G291" t="inlineStr">
        <is>
          <t>ÖSTRA GÖINGE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46261</v>
      </c>
      <c r="F292" t="inlineStr">
        <is>
          <t>SKÅNE LÄN</t>
        </is>
      </c>
      <c r="G292" t="inlineStr">
        <is>
          <t>ÖSTRA GÖINGE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45069</v>
      </c>
      <c r="E293" s="1" t="n">
        <v>46261</v>
      </c>
      <c r="F293" t="inlineStr">
        <is>
          <t>SKÅNE LÄN</t>
        </is>
      </c>
      <c r="G293" t="inlineStr">
        <is>
          <t>ÖSTRA GÖINGE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46261</v>
      </c>
      <c r="F294" t="inlineStr">
        <is>
          <t>SKÅNE LÄN</t>
        </is>
      </c>
      <c r="G294" t="inlineStr">
        <is>
          <t>ÖSTRA GÖINGE</t>
        </is>
      </c>
      <c r="I294" t="n">
        <v>12.8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44929</v>
      </c>
      <c r="E295" s="1" t="n">
        <v>46261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45541</v>
      </c>
      <c r="E296" s="1" t="n">
        <v>46261</v>
      </c>
      <c r="F296" t="inlineStr">
        <is>
          <t>SKÅNE LÄN</t>
        </is>
      </c>
      <c r="G296" t="inlineStr">
        <is>
          <t>ÖSTRA GÖINGE</t>
        </is>
      </c>
      <c r="I296" t="n">
        <v>10.4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46261</v>
      </c>
      <c r="F297" t="inlineStr">
        <is>
          <t>SKÅNE LÄN</t>
        </is>
      </c>
      <c r="G297" t="inlineStr">
        <is>
          <t>ÖSTRA GÖINGE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50922-2021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44459</v>
      </c>
      <c r="E298" s="1" t="n">
        <v>46261</v>
      </c>
      <c r="F298" t="inlineStr">
        <is>
          <t>SKÅNE LÄN</t>
        </is>
      </c>
      <c r="G298" t="inlineStr">
        <is>
          <t>ÖSTRA GÖINGE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45091</v>
      </c>
      <c r="E299" s="1" t="n">
        <v>46261</v>
      </c>
      <c r="F299" t="inlineStr">
        <is>
          <t>SKÅNE LÄN</t>
        </is>
      </c>
      <c r="G299" t="inlineStr">
        <is>
          <t>ÖSTRA GÖINGE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69384-2021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46261</v>
      </c>
      <c r="F300" t="inlineStr">
        <is>
          <t>SKÅNE LÄN</t>
        </is>
      </c>
      <c r="G300" t="inlineStr">
        <is>
          <t>ÖSTRA GÖINGE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60780-2022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44914</v>
      </c>
      <c r="E301" s="1" t="n">
        <v>46261</v>
      </c>
      <c r="F301" t="inlineStr">
        <is>
          <t>SKÅNE LÄN</t>
        </is>
      </c>
      <c r="G301" t="inlineStr">
        <is>
          <t>ÖSTRA GÖINGE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45105</v>
      </c>
      <c r="E302" s="1" t="n">
        <v>46261</v>
      </c>
      <c r="F302" t="inlineStr">
        <is>
          <t>SKÅNE LÄN</t>
        </is>
      </c>
      <c r="G302" t="inlineStr">
        <is>
          <t>ÖSTRA GÖINGE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32982-2026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46241</v>
      </c>
      <c r="E303" s="1" t="n">
        <v>46261</v>
      </c>
      <c r="F303" t="inlineStr">
        <is>
          <t>SKÅNE LÄN</t>
        </is>
      </c>
      <c r="G303" t="inlineStr">
        <is>
          <t>ÖSTRA GÖINGE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46261</v>
      </c>
      <c r="F304" t="inlineStr">
        <is>
          <t>SKÅNE LÄN</t>
        </is>
      </c>
      <c r="G304" t="inlineStr">
        <is>
          <t>ÖSTRA GÖINGE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46261</v>
      </c>
      <c r="F305" t="inlineStr">
        <is>
          <t>SKÅNE LÄN</t>
        </is>
      </c>
      <c r="G305" t="inlineStr">
        <is>
          <t>ÖSTRA GÖINGE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44937</v>
      </c>
      <c r="E306" s="1" t="n">
        <v>46261</v>
      </c>
      <c r="F306" t="inlineStr">
        <is>
          <t>SKÅNE LÄN</t>
        </is>
      </c>
      <c r="G306" t="inlineStr">
        <is>
          <t>ÖSTRA GÖINGE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46261</v>
      </c>
      <c r="F307" t="inlineStr">
        <is>
          <t>SKÅNE LÄN</t>
        </is>
      </c>
      <c r="G307" t="inlineStr">
        <is>
          <t>ÖSTRA GÖINGE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45078</v>
      </c>
      <c r="E308" s="1" t="n">
        <v>46261</v>
      </c>
      <c r="F308" t="inlineStr">
        <is>
          <t>SKÅNE LÄN</t>
        </is>
      </c>
      <c r="G308" t="inlineStr">
        <is>
          <t>ÖSTRA GÖINGE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31114-2026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46261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46261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46261</v>
      </c>
      <c r="F311" t="inlineStr">
        <is>
          <t>SKÅNE LÄN</t>
        </is>
      </c>
      <c r="G311" t="inlineStr">
        <is>
          <t>ÖSTRA GÖINGE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46205</v>
      </c>
      <c r="E312" s="1" t="n">
        <v>46261</v>
      </c>
      <c r="F312" t="inlineStr">
        <is>
          <t>SKÅNE LÄN</t>
        </is>
      </c>
      <c r="G312" t="inlineStr">
        <is>
          <t>ÖSTRA GÖINGE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46261</v>
      </c>
      <c r="F313" t="inlineStr">
        <is>
          <t>SKÅNE LÄN</t>
        </is>
      </c>
      <c r="G313" t="inlineStr">
        <is>
          <t>ÖSTRA GÖINGE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55716-2024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45622</v>
      </c>
      <c r="E314" s="1" t="n">
        <v>46261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45574</v>
      </c>
      <c r="E315" s="1" t="n">
        <v>46261</v>
      </c>
      <c r="F315" t="inlineStr">
        <is>
          <t>SKÅNE LÄN</t>
        </is>
      </c>
      <c r="G315" t="inlineStr">
        <is>
          <t>ÖSTRA GÖINGE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46261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46261</v>
      </c>
      <c r="F317" t="inlineStr">
        <is>
          <t>SKÅNE LÄN</t>
        </is>
      </c>
      <c r="G317" t="inlineStr">
        <is>
          <t>ÖSTRA GÖINGE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45142</v>
      </c>
      <c r="E318" s="1" t="n">
        <v>46261</v>
      </c>
      <c r="F318" t="inlineStr">
        <is>
          <t>SKÅNE LÄN</t>
        </is>
      </c>
      <c r="G318" t="inlineStr">
        <is>
          <t>ÖSTRA GÖINGE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46261</v>
      </c>
      <c r="F319" t="inlineStr">
        <is>
          <t>SKÅNE LÄN</t>
        </is>
      </c>
      <c r="G319" t="inlineStr">
        <is>
          <t>ÖSTRA GÖINGE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45331</v>
      </c>
      <c r="E320" s="1" t="n">
        <v>46261</v>
      </c>
      <c r="F320" t="inlineStr">
        <is>
          <t>SKÅNE LÄN</t>
        </is>
      </c>
      <c r="G320" t="inlineStr">
        <is>
          <t>ÖSTRA GÖINGE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30111-2026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46206</v>
      </c>
      <c r="E321" s="1" t="n">
        <v>46261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45029</v>
      </c>
      <c r="E322" s="1" t="n">
        <v>46261</v>
      </c>
      <c r="F322" t="inlineStr">
        <is>
          <t>SKÅNE LÄN</t>
        </is>
      </c>
      <c r="G322" t="inlineStr">
        <is>
          <t>ÖSTRA GÖINGE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46261</v>
      </c>
      <c r="F323" t="inlineStr">
        <is>
          <t>SKÅNE LÄN</t>
        </is>
      </c>
      <c r="G323" t="inlineStr">
        <is>
          <t>ÖSTRA GÖINGE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46261</v>
      </c>
      <c r="F324" t="inlineStr">
        <is>
          <t>SKÅNE LÄN</t>
        </is>
      </c>
      <c r="G324" t="inlineStr">
        <is>
          <t>ÖSTRA GÖINGE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46261</v>
      </c>
      <c r="F325" t="inlineStr">
        <is>
          <t>SKÅNE LÄN</t>
        </is>
      </c>
      <c r="G325" t="inlineStr">
        <is>
          <t>ÖSTRA GÖINGE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45428</v>
      </c>
      <c r="E326" s="1" t="n">
        <v>46261</v>
      </c>
      <c r="F326" t="inlineStr">
        <is>
          <t>SKÅNE LÄN</t>
        </is>
      </c>
      <c r="G326" t="inlineStr">
        <is>
          <t>ÖSTRA GÖINGE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46261</v>
      </c>
      <c r="F327" t="inlineStr">
        <is>
          <t>SKÅNE LÄN</t>
        </is>
      </c>
      <c r="G327" t="inlineStr">
        <is>
          <t>ÖSTRA GÖINGE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45105</v>
      </c>
      <c r="E328" s="1" t="n">
        <v>46261</v>
      </c>
      <c r="F328" t="inlineStr">
        <is>
          <t>SKÅNE LÄN</t>
        </is>
      </c>
      <c r="G328" t="inlineStr">
        <is>
          <t>ÖSTRA GÖINGE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46261</v>
      </c>
      <c r="F329" t="inlineStr">
        <is>
          <t>SKÅNE LÄN</t>
        </is>
      </c>
      <c r="G329" t="inlineStr">
        <is>
          <t>ÖSTRA GÖINGE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50663-2024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46261</v>
      </c>
      <c r="F330" t="inlineStr">
        <is>
          <t>SKÅNE LÄN</t>
        </is>
      </c>
      <c r="G330" t="inlineStr">
        <is>
          <t>ÖSTRA GÖINGE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46261</v>
      </c>
      <c r="F331" t="inlineStr">
        <is>
          <t>SKÅNE LÄN</t>
        </is>
      </c>
      <c r="G331" t="inlineStr">
        <is>
          <t>ÖSTRA GÖINGE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44981</v>
      </c>
      <c r="E332" s="1" t="n">
        <v>46261</v>
      </c>
      <c r="F332" t="inlineStr">
        <is>
          <t>SKÅNE LÄN</t>
        </is>
      </c>
      <c r="G332" t="inlineStr">
        <is>
          <t>ÖSTRA GÖINGE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44977</v>
      </c>
      <c r="E333" s="1" t="n">
        <v>46261</v>
      </c>
      <c r="F333" t="inlineStr">
        <is>
          <t>SKÅNE LÄN</t>
        </is>
      </c>
      <c r="G333" t="inlineStr">
        <is>
          <t>ÖSTRA GÖINGE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45139</v>
      </c>
      <c r="E334" s="1" t="n">
        <v>46261</v>
      </c>
      <c r="F334" t="inlineStr">
        <is>
          <t>SKÅNE LÄN</t>
        </is>
      </c>
      <c r="G334" t="inlineStr">
        <is>
          <t>ÖSTRA GÖINGE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34840-2026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46258</v>
      </c>
      <c r="E335" s="1" t="n">
        <v>46261</v>
      </c>
      <c r="F335" t="inlineStr">
        <is>
          <t>SKÅNE LÄN</t>
        </is>
      </c>
      <c r="G335" t="inlineStr">
        <is>
          <t>ÖSTRA GÖINGE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45117</v>
      </c>
      <c r="E336" s="1" t="n">
        <v>46261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44953</v>
      </c>
      <c r="E337" s="1" t="n">
        <v>46261</v>
      </c>
      <c r="F337" t="inlineStr">
        <is>
          <t>SKÅNE LÄN</t>
        </is>
      </c>
      <c r="G337" t="inlineStr">
        <is>
          <t>ÖSTRA GÖINGE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45138</v>
      </c>
      <c r="E338" s="1" t="n">
        <v>46261</v>
      </c>
      <c r="F338" t="inlineStr">
        <is>
          <t>SKÅNE LÄN</t>
        </is>
      </c>
      <c r="G338" t="inlineStr">
        <is>
          <t>ÖSTRA GÖINGE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69387-2021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44531</v>
      </c>
      <c r="E339" s="1" t="n">
        <v>46261</v>
      </c>
      <c r="F339" t="inlineStr">
        <is>
          <t>SKÅNE LÄN</t>
        </is>
      </c>
      <c r="G339" t="inlineStr">
        <is>
          <t>ÖSTRA GÖINGE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45636</v>
      </c>
      <c r="E340" s="1" t="n">
        <v>46261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46261</v>
      </c>
      <c r="F341" t="inlineStr">
        <is>
          <t>SKÅNE LÄN</t>
        </is>
      </c>
      <c r="G341" t="inlineStr">
        <is>
          <t>ÖSTRA GÖINGE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45541</v>
      </c>
      <c r="E342" s="1" t="n">
        <v>46261</v>
      </c>
      <c r="F342" t="inlineStr">
        <is>
          <t>SKÅNE LÄN</t>
        </is>
      </c>
      <c r="G342" t="inlineStr">
        <is>
          <t>ÖSTRA GÖINGE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45541</v>
      </c>
      <c r="E343" s="1" t="n">
        <v>46261</v>
      </c>
      <c r="F343" t="inlineStr">
        <is>
          <t>SKÅNE LÄN</t>
        </is>
      </c>
      <c r="G343" t="inlineStr">
        <is>
          <t>ÖSTRA GÖINGE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46279-2024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45581</v>
      </c>
      <c r="E344" s="1" t="n">
        <v>46261</v>
      </c>
      <c r="F344" t="inlineStr">
        <is>
          <t>SKÅNE LÄN</t>
        </is>
      </c>
      <c r="G344" t="inlineStr">
        <is>
          <t>ÖSTRA GÖINGE</t>
        </is>
      </c>
      <c r="H344" t="inlineStr">
        <is>
          <t>Sveaskog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46261</v>
      </c>
      <c r="F345" t="inlineStr">
        <is>
          <t>SKÅNE LÄN</t>
        </is>
      </c>
      <c r="G345" t="inlineStr">
        <is>
          <t>ÖSTRA GÖINGE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45569</v>
      </c>
      <c r="E346" s="1" t="n">
        <v>46261</v>
      </c>
      <c r="F346" t="inlineStr">
        <is>
          <t>SKÅNE LÄN</t>
        </is>
      </c>
      <c r="G346" t="inlineStr">
        <is>
          <t>ÖSTRA GÖINGE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45686</v>
      </c>
      <c r="E347" s="1" t="n">
        <v>46261</v>
      </c>
      <c r="F347" t="inlineStr">
        <is>
          <t>SKÅNE LÄN</t>
        </is>
      </c>
      <c r="G347" t="inlineStr">
        <is>
          <t>ÖSTRA GÖINGE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10497-2022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44623</v>
      </c>
      <c r="E348" s="1" t="n">
        <v>46261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45076</v>
      </c>
      <c r="E349" s="1" t="n">
        <v>46261</v>
      </c>
      <c r="F349" t="inlineStr">
        <is>
          <t>SKÅNE LÄN</t>
        </is>
      </c>
      <c r="G349" t="inlineStr">
        <is>
          <t>ÖSTRA GÖINGE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45076</v>
      </c>
      <c r="E350" s="1" t="n">
        <v>46261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45172</v>
      </c>
      <c r="E351" s="1" t="n">
        <v>46261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46261</v>
      </c>
      <c r="F352" t="inlineStr">
        <is>
          <t>SKÅNE LÄN</t>
        </is>
      </c>
      <c r="G352" t="inlineStr">
        <is>
          <t>ÖSTRA GÖINGE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42192-2023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45179</v>
      </c>
      <c r="E353" s="1" t="n">
        <v>46261</v>
      </c>
      <c r="F353" t="inlineStr">
        <is>
          <t>SKÅNE LÄN</t>
        </is>
      </c>
      <c r="G353" t="inlineStr">
        <is>
          <t>ÖSTRA GÖINGE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46261</v>
      </c>
      <c r="F354" t="inlineStr">
        <is>
          <t>SKÅNE LÄN</t>
        </is>
      </c>
      <c r="G354" t="inlineStr">
        <is>
          <t>ÖSTRA GÖINGE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46261</v>
      </c>
      <c r="F355" t="inlineStr">
        <is>
          <t>SKÅNE LÄN</t>
        </is>
      </c>
      <c r="G355" t="inlineStr">
        <is>
          <t>ÖSTRA GÖINGE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46261</v>
      </c>
      <c r="F356" t="inlineStr">
        <is>
          <t>SKÅNE LÄN</t>
        </is>
      </c>
      <c r="G356" t="inlineStr">
        <is>
          <t>ÖSTRA GÖINGE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46261</v>
      </c>
      <c r="F357" t="inlineStr">
        <is>
          <t>SKÅNE LÄN</t>
        </is>
      </c>
      <c r="G357" t="inlineStr">
        <is>
          <t>ÖSTRA GÖINGE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20281-2025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45774</v>
      </c>
      <c r="E358" s="1" t="n">
        <v>46261</v>
      </c>
      <c r="F358" t="inlineStr">
        <is>
          <t>SKÅNE LÄN</t>
        </is>
      </c>
      <c r="G358" t="inlineStr">
        <is>
          <t>ÖSTRA GÖINGE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44686</v>
      </c>
      <c r="E359" s="1" t="n">
        <v>46261</v>
      </c>
      <c r="F359" t="inlineStr">
        <is>
          <t>SKÅNE LÄN</t>
        </is>
      </c>
      <c r="G359" t="inlineStr">
        <is>
          <t>ÖSTRA GÖINGE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27318-2022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44742</v>
      </c>
      <c r="E360" s="1" t="n">
        <v>46261</v>
      </c>
      <c r="F360" t="inlineStr">
        <is>
          <t>SKÅNE LÄN</t>
        </is>
      </c>
      <c r="G360" t="inlineStr">
        <is>
          <t>ÖSTRA GÖINGE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44853</v>
      </c>
      <c r="E361" s="1" t="n">
        <v>46261</v>
      </c>
      <c r="F361" t="inlineStr">
        <is>
          <t>SKÅNE LÄN</t>
        </is>
      </c>
      <c r="G361" t="inlineStr">
        <is>
          <t>ÖSTRA GÖINGE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46677-2023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45198</v>
      </c>
      <c r="E362" s="1" t="n">
        <v>46261</v>
      </c>
      <c r="F362" t="inlineStr">
        <is>
          <t>SKÅNE LÄN</t>
        </is>
      </c>
      <c r="G362" t="inlineStr">
        <is>
          <t>ÖSTRA GÖINGE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45121</v>
      </c>
      <c r="E363" s="1" t="n">
        <v>46261</v>
      </c>
      <c r="F363" t="inlineStr">
        <is>
          <t>SKÅNE LÄN</t>
        </is>
      </c>
      <c r="G363" t="inlineStr">
        <is>
          <t>ÖSTRA GÖINGE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44725-2022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46261</v>
      </c>
      <c r="F364" t="inlineStr">
        <is>
          <t>SKÅNE LÄN</t>
        </is>
      </c>
      <c r="G364" t="inlineStr">
        <is>
          <t>ÖSTRA GÖINGE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46261</v>
      </c>
      <c r="F365" t="inlineStr">
        <is>
          <t>SKÅNE LÄN</t>
        </is>
      </c>
      <c r="G365" t="inlineStr">
        <is>
          <t>ÖSTRA GÖINGE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46261</v>
      </c>
      <c r="F366" t="inlineStr">
        <is>
          <t>SKÅNE LÄN</t>
        </is>
      </c>
      <c r="G366" t="inlineStr">
        <is>
          <t>ÖSTRA GÖINGE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45274</v>
      </c>
      <c r="E367" s="1" t="n">
        <v>46261</v>
      </c>
      <c r="F367" t="inlineStr">
        <is>
          <t>SKÅNE LÄN</t>
        </is>
      </c>
      <c r="G367" t="inlineStr">
        <is>
          <t>ÖSTRA GÖINGE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46261</v>
      </c>
      <c r="F368" t="inlineStr">
        <is>
          <t>SKÅNE LÄN</t>
        </is>
      </c>
      <c r="G368" t="inlineStr">
        <is>
          <t>ÖSTRA GÖINGE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45330</v>
      </c>
      <c r="E369" s="1" t="n">
        <v>46261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46261</v>
      </c>
      <c r="F370" t="inlineStr">
        <is>
          <t>SKÅNE LÄN</t>
        </is>
      </c>
      <c r="G370" t="inlineStr">
        <is>
          <t>ÖSTRA GÖINGE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46261</v>
      </c>
      <c r="F371" t="inlineStr">
        <is>
          <t>SKÅNE LÄN</t>
        </is>
      </c>
      <c r="G371" t="inlineStr">
        <is>
          <t>ÖSTRA GÖINGE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11451-2025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46261</v>
      </c>
      <c r="F372" t="inlineStr">
        <is>
          <t>SKÅNE LÄN</t>
        </is>
      </c>
      <c r="G372" t="inlineStr">
        <is>
          <t>ÖSTRA GÖINGE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24028-2022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44723</v>
      </c>
      <c r="E373" s="1" t="n">
        <v>46261</v>
      </c>
      <c r="F373" t="inlineStr">
        <is>
          <t>SKÅNE LÄN</t>
        </is>
      </c>
      <c r="G373" t="inlineStr">
        <is>
          <t>ÖSTRA GÖINGE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46261</v>
      </c>
      <c r="F374" t="inlineStr">
        <is>
          <t>SKÅNE LÄN</t>
        </is>
      </c>
      <c r="G374" t="inlineStr">
        <is>
          <t>ÖSTRA GÖINGE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46261</v>
      </c>
      <c r="F375" t="inlineStr">
        <is>
          <t>SKÅNE LÄN</t>
        </is>
      </c>
      <c r="G375" t="inlineStr">
        <is>
          <t>ÖSTRA GÖINGE</t>
        </is>
      </c>
      <c r="I375" t="n">
        <v>7.7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44935</v>
      </c>
      <c r="E376" s="1" t="n">
        <v>46261</v>
      </c>
      <c r="F376" t="inlineStr">
        <is>
          <t>SKÅNE LÄN</t>
        </is>
      </c>
      <c r="G376" t="inlineStr">
        <is>
          <t>ÖSTRA GÖINGE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45259</v>
      </c>
      <c r="E377" s="1" t="n">
        <v>46261</v>
      </c>
      <c r="F377" t="inlineStr">
        <is>
          <t>SKÅNE LÄN</t>
        </is>
      </c>
      <c r="G377" t="inlineStr">
        <is>
          <t>ÖSTRA GÖINGE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71747-2021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44539</v>
      </c>
      <c r="E378" s="1" t="n">
        <v>46261</v>
      </c>
      <c r="F378" t="inlineStr">
        <is>
          <t>SKÅNE LÄN</t>
        </is>
      </c>
      <c r="G378" t="inlineStr">
        <is>
          <t>ÖSTRA GÖINGE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46261</v>
      </c>
      <c r="F379" t="inlineStr">
        <is>
          <t>SKÅNE LÄN</t>
        </is>
      </c>
      <c r="G379" t="inlineStr">
        <is>
          <t>ÖSTRA GÖINGE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44937</v>
      </c>
      <c r="E380" s="1" t="n">
        <v>46261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43224-2024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45567</v>
      </c>
      <c r="E381" s="1" t="n">
        <v>46261</v>
      </c>
      <c r="F381" t="inlineStr">
        <is>
          <t>SKÅNE LÄN</t>
        </is>
      </c>
      <c r="G381" t="inlineStr">
        <is>
          <t>ÖSTRA GÖINGE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34924-2022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44796</v>
      </c>
      <c r="E382" s="1" t="n">
        <v>46261</v>
      </c>
      <c r="F382" t="inlineStr">
        <is>
          <t>SKÅNE LÄN</t>
        </is>
      </c>
      <c r="G382" t="inlineStr">
        <is>
          <t>ÖSTRA GÖINGE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64181-2023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45279</v>
      </c>
      <c r="E383" s="1" t="n">
        <v>46261</v>
      </c>
      <c r="F383" t="inlineStr">
        <is>
          <t>SKÅNE LÄN</t>
        </is>
      </c>
      <c r="G383" t="inlineStr">
        <is>
          <t>ÖSTRA GÖINGE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66526-2021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44519</v>
      </c>
      <c r="E384" s="1" t="n">
        <v>46261</v>
      </c>
      <c r="F384" t="inlineStr">
        <is>
          <t>SKÅNE LÄN</t>
        </is>
      </c>
      <c r="G384" t="inlineStr">
        <is>
          <t>ÖSTRA GÖINGE</t>
        </is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44606</v>
      </c>
      <c r="E385" s="1" t="n">
        <v>46261</v>
      </c>
      <c r="F385" t="inlineStr">
        <is>
          <t>SKÅNE LÄN</t>
        </is>
      </c>
      <c r="G385" t="inlineStr">
        <is>
          <t>ÖSTRA GÖINGE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44897</v>
      </c>
      <c r="E386" s="1" t="n">
        <v>46261</v>
      </c>
      <c r="F386" t="inlineStr">
        <is>
          <t>SKÅNE LÄN</t>
        </is>
      </c>
      <c r="G386" t="inlineStr">
        <is>
          <t>ÖSTRA GÖINGE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47628-2022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44852</v>
      </c>
      <c r="E387" s="1" t="n">
        <v>46261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44593</v>
      </c>
      <c r="E388" s="1" t="n">
        <v>46261</v>
      </c>
      <c r="F388" t="inlineStr">
        <is>
          <t>SKÅNE LÄN</t>
        </is>
      </c>
      <c r="G388" t="inlineStr">
        <is>
          <t>ÖSTRA GÖINGE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45475</v>
      </c>
      <c r="E389" s="1" t="n">
        <v>46261</v>
      </c>
      <c r="F389" t="inlineStr">
        <is>
          <t>SKÅNE LÄN</t>
        </is>
      </c>
      <c r="G389" t="inlineStr">
        <is>
          <t>ÖSTRA GÖINGE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44627</v>
      </c>
      <c r="E390" s="1" t="n">
        <v>46261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44946</v>
      </c>
      <c r="E391" s="1" t="n">
        <v>46261</v>
      </c>
      <c r="F391" t="inlineStr">
        <is>
          <t>SKÅNE LÄN</t>
        </is>
      </c>
      <c r="G391" t="inlineStr">
        <is>
          <t>ÖSTRA GÖINGE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46261</v>
      </c>
      <c r="F392" t="inlineStr">
        <is>
          <t>SKÅNE LÄN</t>
        </is>
      </c>
      <c r="G392" t="inlineStr">
        <is>
          <t>ÖSTRA GÖINGE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45188</v>
      </c>
      <c r="E393" s="1" t="n">
        <v>46261</v>
      </c>
      <c r="F393" t="inlineStr">
        <is>
          <t>SKÅNE LÄN</t>
        </is>
      </c>
      <c r="G393" t="inlineStr">
        <is>
          <t>ÖSTRA GÖINGE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46261</v>
      </c>
      <c r="F394" t="inlineStr">
        <is>
          <t>SKÅNE LÄN</t>
        </is>
      </c>
      <c r="G394" t="inlineStr">
        <is>
          <t>ÖSTRA GÖINGE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44602</v>
      </c>
      <c r="E395" s="1" t="n">
        <v>46261</v>
      </c>
      <c r="F395" t="inlineStr">
        <is>
          <t>SKÅNE LÄN</t>
        </is>
      </c>
      <c r="G395" t="inlineStr">
        <is>
          <t>ÖSTRA GÖINGE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46261</v>
      </c>
      <c r="F396" t="inlineStr">
        <is>
          <t>SKÅNE LÄN</t>
        </is>
      </c>
      <c r="G396" t="inlineStr">
        <is>
          <t>ÖSTRA GÖINGE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46261</v>
      </c>
      <c r="F397" t="inlineStr">
        <is>
          <t>SKÅNE LÄN</t>
        </is>
      </c>
      <c r="G397" t="inlineStr">
        <is>
          <t>ÖSTRA GÖINGE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46261</v>
      </c>
      <c r="F398" t="inlineStr">
        <is>
          <t>SKÅNE LÄN</t>
        </is>
      </c>
      <c r="G398" t="inlineStr">
        <is>
          <t>ÖSTRA GÖINGE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43401-2024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45568</v>
      </c>
      <c r="E399" s="1" t="n">
        <v>46261</v>
      </c>
      <c r="F399" t="inlineStr">
        <is>
          <t>SKÅNE LÄN</t>
        </is>
      </c>
      <c r="G399" t="inlineStr">
        <is>
          <t>ÖSTRA GÖINGE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44873</v>
      </c>
      <c r="E400" s="1" t="n">
        <v>46261</v>
      </c>
      <c r="F400" t="inlineStr">
        <is>
          <t>SKÅNE LÄN</t>
        </is>
      </c>
      <c r="G400" t="inlineStr">
        <is>
          <t>ÖSTRA GÖINGE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45147</v>
      </c>
      <c r="E401" s="1" t="n">
        <v>46261</v>
      </c>
      <c r="F401" t="inlineStr">
        <is>
          <t>SKÅNE LÄN</t>
        </is>
      </c>
      <c r="G401" t="inlineStr">
        <is>
          <t>ÖSTRA GÖINGE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45180</v>
      </c>
      <c r="E402" s="1" t="n">
        <v>46261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46261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45758</v>
      </c>
      <c r="E404" s="1" t="n">
        <v>46261</v>
      </c>
      <c r="F404" t="inlineStr">
        <is>
          <t>SKÅNE LÄN</t>
        </is>
      </c>
      <c r="G404" t="inlineStr">
        <is>
          <t>ÖSTRA GÖINGE</t>
        </is>
      </c>
      <c r="H404" t="inlineStr">
        <is>
          <t>Sveaskog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46261</v>
      </c>
      <c r="F405" t="inlineStr">
        <is>
          <t>SKÅNE LÄN</t>
        </is>
      </c>
      <c r="G405" t="inlineStr">
        <is>
          <t>ÖSTRA GÖINGE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45320</v>
      </c>
      <c r="E406" s="1" t="n">
        <v>46261</v>
      </c>
      <c r="F406" t="inlineStr">
        <is>
          <t>SKÅNE LÄN</t>
        </is>
      </c>
      <c r="G406" t="inlineStr">
        <is>
          <t>ÖSTRA GÖINGE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46261</v>
      </c>
      <c r="F407" t="inlineStr">
        <is>
          <t>SKÅNE LÄN</t>
        </is>
      </c>
      <c r="G407" t="inlineStr">
        <is>
          <t>ÖSTRA GÖINGE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45210</v>
      </c>
      <c r="E408" s="1" t="n">
        <v>46261</v>
      </c>
      <c r="F408" t="inlineStr">
        <is>
          <t>SKÅNE LÄN</t>
        </is>
      </c>
      <c r="G408" t="inlineStr">
        <is>
          <t>ÖSTRA GÖINGE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45146</v>
      </c>
      <c r="E409" s="1" t="n">
        <v>46261</v>
      </c>
      <c r="F409" t="inlineStr">
        <is>
          <t>SKÅNE LÄN</t>
        </is>
      </c>
      <c r="G409" t="inlineStr">
        <is>
          <t>ÖSTRA GÖINGE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46261</v>
      </c>
      <c r="F410" t="inlineStr">
        <is>
          <t>SKÅNE LÄN</t>
        </is>
      </c>
      <c r="G410" t="inlineStr">
        <is>
          <t>ÖSTRA GÖINGE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52522-2021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44466</v>
      </c>
      <c r="E411" s="1" t="n">
        <v>46261</v>
      </c>
      <c r="F411" t="inlineStr">
        <is>
          <t>SKÅNE LÄN</t>
        </is>
      </c>
      <c r="G411" t="inlineStr">
        <is>
          <t>ÖSTRA GÖINGE</t>
        </is>
      </c>
      <c r="H411" t="inlineStr">
        <is>
          <t>Sveaskog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45541</v>
      </c>
      <c r="E412" s="1" t="n">
        <v>46261</v>
      </c>
      <c r="F412" t="inlineStr">
        <is>
          <t>SKÅNE LÄN</t>
        </is>
      </c>
      <c r="G412" t="inlineStr">
        <is>
          <t>ÖSTRA GÖINGE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37589-2024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45541</v>
      </c>
      <c r="E413" s="1" t="n">
        <v>46261</v>
      </c>
      <c r="F413" t="inlineStr">
        <is>
          <t>SKÅNE LÄN</t>
        </is>
      </c>
      <c r="G413" t="inlineStr">
        <is>
          <t>ÖSTRA GÖINGE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46261</v>
      </c>
      <c r="F414" t="inlineStr">
        <is>
          <t>SKÅNE LÄN</t>
        </is>
      </c>
      <c r="G414" t="inlineStr">
        <is>
          <t>ÖSTRA GÖINGE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45405</v>
      </c>
      <c r="E415" s="1" t="n">
        <v>46261</v>
      </c>
      <c r="F415" t="inlineStr">
        <is>
          <t>SKÅNE LÄN</t>
        </is>
      </c>
      <c r="G415" t="inlineStr">
        <is>
          <t>ÖSTRA GÖINGE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45568</v>
      </c>
      <c r="E416" s="1" t="n">
        <v>46261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45254</v>
      </c>
      <c r="E417" s="1" t="n">
        <v>46261</v>
      </c>
      <c r="F417" t="inlineStr">
        <is>
          <t>SKÅNE LÄN</t>
        </is>
      </c>
      <c r="G417" t="inlineStr">
        <is>
          <t>ÖSTRA GÖINGE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8380-2023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44977</v>
      </c>
      <c r="E418" s="1" t="n">
        <v>46261</v>
      </c>
      <c r="F418" t="inlineStr">
        <is>
          <t>SKÅNE LÄN</t>
        </is>
      </c>
      <c r="G418" t="inlineStr">
        <is>
          <t>ÖSTRA GÖINGE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45021</v>
      </c>
      <c r="E419" s="1" t="n">
        <v>46261</v>
      </c>
      <c r="F419" t="inlineStr">
        <is>
          <t>SKÅNE LÄN</t>
        </is>
      </c>
      <c r="G419" t="inlineStr">
        <is>
          <t>ÖSTRA GÖINGE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44958</v>
      </c>
      <c r="E420" s="1" t="n">
        <v>46261</v>
      </c>
      <c r="F420" t="inlineStr">
        <is>
          <t>SKÅNE LÄN</t>
        </is>
      </c>
      <c r="G420" t="inlineStr">
        <is>
          <t>ÖSTRA GÖINGE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44958</v>
      </c>
      <c r="E421" s="1" t="n">
        <v>46261</v>
      </c>
      <c r="F421" t="inlineStr">
        <is>
          <t>SKÅNE LÄN</t>
        </is>
      </c>
      <c r="G421" t="inlineStr">
        <is>
          <t>ÖSTRA GÖINGE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37303-2023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45156</v>
      </c>
      <c r="E422" s="1" t="n">
        <v>46261</v>
      </c>
      <c r="F422" t="inlineStr">
        <is>
          <t>SKÅNE LÄN</t>
        </is>
      </c>
      <c r="G422" t="inlineStr">
        <is>
          <t>ÖSTRA GÖINGE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45243</v>
      </c>
      <c r="E423" s="1" t="n">
        <v>46261</v>
      </c>
      <c r="F423" t="inlineStr">
        <is>
          <t>SKÅNE LÄN</t>
        </is>
      </c>
      <c r="G423" t="inlineStr">
        <is>
          <t>ÖSTRA GÖINGE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45765</v>
      </c>
      <c r="E424" s="1" t="n">
        <v>46261</v>
      </c>
      <c r="F424" t="inlineStr">
        <is>
          <t>SKÅNE LÄN</t>
        </is>
      </c>
      <c r="G424" t="inlineStr">
        <is>
          <t>ÖSTRA GÖINGE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45373</v>
      </c>
      <c r="E425" s="1" t="n">
        <v>46261</v>
      </c>
      <c r="F425" t="inlineStr">
        <is>
          <t>SKÅNE LÄN</t>
        </is>
      </c>
      <c r="G425" t="inlineStr">
        <is>
          <t>ÖSTRA GÖINGE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45331</v>
      </c>
      <c r="E426" s="1" t="n">
        <v>46261</v>
      </c>
      <c r="F426" t="inlineStr">
        <is>
          <t>SKÅNE LÄN</t>
        </is>
      </c>
      <c r="G426" t="inlineStr">
        <is>
          <t>ÖSTRA GÖINGE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27322-2022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44742</v>
      </c>
      <c r="E427" s="1" t="n">
        <v>46261</v>
      </c>
      <c r="F427" t="inlineStr">
        <is>
          <t>SKÅNE LÄN</t>
        </is>
      </c>
      <c r="G427" t="inlineStr">
        <is>
          <t>ÖSTRA GÖINGE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45321</v>
      </c>
      <c r="E428" s="1" t="n">
        <v>46261</v>
      </c>
      <c r="F428" t="inlineStr">
        <is>
          <t>SKÅNE LÄN</t>
        </is>
      </c>
      <c r="G428" t="inlineStr">
        <is>
          <t>ÖSTRA GÖINGE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48408-2023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46261</v>
      </c>
      <c r="F429" t="inlineStr">
        <is>
          <t>SKÅNE LÄN</t>
        </is>
      </c>
      <c r="G429" t="inlineStr">
        <is>
          <t>ÖSTRA GÖINGE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44593</v>
      </c>
      <c r="E430" s="1" t="n">
        <v>46261</v>
      </c>
      <c r="F430" t="inlineStr">
        <is>
          <t>SKÅNE LÄN</t>
        </is>
      </c>
      <c r="G430" t="inlineStr">
        <is>
          <t>ÖSTRA GÖINGE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58279-2024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45632</v>
      </c>
      <c r="E431" s="1" t="n">
        <v>46261</v>
      </c>
      <c r="F431" t="inlineStr">
        <is>
          <t>SKÅNE LÄN</t>
        </is>
      </c>
      <c r="G431" t="inlineStr">
        <is>
          <t>ÖSTRA GÖINGE</t>
        </is>
      </c>
      <c r="I431" t="n">
        <v>9.4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45443</v>
      </c>
      <c r="E432" s="1" t="n">
        <v>46261</v>
      </c>
      <c r="F432" t="inlineStr">
        <is>
          <t>SKÅNE LÄN</t>
        </is>
      </c>
      <c r="G432" t="inlineStr">
        <is>
          <t>ÖSTRA GÖINGE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45307</v>
      </c>
      <c r="E433" s="1" t="n">
        <v>46261</v>
      </c>
      <c r="F433" t="inlineStr">
        <is>
          <t>SKÅNE LÄN</t>
        </is>
      </c>
      <c r="G433" t="inlineStr">
        <is>
          <t>ÖSTRA GÖINGE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45680</v>
      </c>
      <c r="E434" s="1" t="n">
        <v>46261</v>
      </c>
      <c r="F434" t="inlineStr">
        <is>
          <t>SKÅNE LÄN</t>
        </is>
      </c>
      <c r="G434" t="inlineStr">
        <is>
          <t>ÖSTRA GÖINGE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44930</v>
      </c>
      <c r="E435" s="1" t="n">
        <v>46261</v>
      </c>
      <c r="F435" t="inlineStr">
        <is>
          <t>SKÅNE LÄN</t>
        </is>
      </c>
      <c r="G435" t="inlineStr">
        <is>
          <t>ÖSTRA GÖINGE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47591-2023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45203</v>
      </c>
      <c r="E436" s="1" t="n">
        <v>46261</v>
      </c>
      <c r="F436" t="inlineStr">
        <is>
          <t>SKÅNE LÄN</t>
        </is>
      </c>
      <c r="G436" t="inlineStr">
        <is>
          <t>ÖSTRA GÖINGE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45252</v>
      </c>
      <c r="E437" s="1" t="n">
        <v>46261</v>
      </c>
      <c r="F437" t="inlineStr">
        <is>
          <t>SKÅNE LÄN</t>
        </is>
      </c>
      <c r="G437" t="inlineStr">
        <is>
          <t>ÖSTRA GÖINGE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45727</v>
      </c>
      <c r="E438" s="1" t="n">
        <v>46261</v>
      </c>
      <c r="F438" t="inlineStr">
        <is>
          <t>SKÅNE LÄN</t>
        </is>
      </c>
      <c r="G438" t="inlineStr">
        <is>
          <t>ÖSTRA GÖINGE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46261</v>
      </c>
      <c r="F439" t="inlineStr">
        <is>
          <t>SKÅNE LÄN</t>
        </is>
      </c>
      <c r="G439" t="inlineStr">
        <is>
          <t>ÖSTRA GÖINGE</t>
        </is>
      </c>
      <c r="H439" t="inlineStr">
        <is>
          <t>Sveaskog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46261</v>
      </c>
      <c r="F440" t="inlineStr">
        <is>
          <t>SKÅNE LÄN</t>
        </is>
      </c>
      <c r="G440" t="inlineStr">
        <is>
          <t>ÖSTRA GÖINGE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58518-2024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45635</v>
      </c>
      <c r="E441" s="1" t="n">
        <v>46261</v>
      </c>
      <c r="F441" t="inlineStr">
        <is>
          <t>SKÅNE LÄN</t>
        </is>
      </c>
      <c r="G441" t="inlineStr">
        <is>
          <t>ÖSTRA GÖINGE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46261</v>
      </c>
      <c r="F442" t="inlineStr">
        <is>
          <t>SKÅNE LÄN</t>
        </is>
      </c>
      <c r="G442" t="inlineStr">
        <is>
          <t>ÖSTRA GÖINGE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36963-2024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46261</v>
      </c>
      <c r="F443" t="inlineStr">
        <is>
          <t>SKÅNE LÄN</t>
        </is>
      </c>
      <c r="G443" t="inlineStr">
        <is>
          <t>ÖSTRA GÖINGE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30140-2024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45489</v>
      </c>
      <c r="E444" s="1" t="n">
        <v>46261</v>
      </c>
      <c r="F444" t="inlineStr">
        <is>
          <t>SKÅNE LÄN</t>
        </is>
      </c>
      <c r="G444" t="inlineStr">
        <is>
          <t>ÖSTRA GÖINGE</t>
        </is>
      </c>
      <c r="I444" t="n">
        <v>8.1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45638</v>
      </c>
      <c r="E445" s="1" t="n">
        <v>46261</v>
      </c>
      <c r="F445" t="inlineStr">
        <is>
          <t>SKÅNE LÄN</t>
        </is>
      </c>
      <c r="G445" t="inlineStr">
        <is>
          <t>ÖSTRA GÖINGE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7804-2025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46261</v>
      </c>
      <c r="F446" t="inlineStr">
        <is>
          <t>SKÅNE LÄN</t>
        </is>
      </c>
      <c r="G446" t="inlineStr">
        <is>
          <t>ÖSTRA GÖINGE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45022</v>
      </c>
      <c r="E447" s="1" t="n">
        <v>46261</v>
      </c>
      <c r="F447" t="inlineStr">
        <is>
          <t>SKÅNE LÄN</t>
        </is>
      </c>
      <c r="G447" t="inlineStr">
        <is>
          <t>ÖSTRA GÖINGE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45564</v>
      </c>
      <c r="E448" s="1" t="n">
        <v>46261</v>
      </c>
      <c r="F448" t="inlineStr">
        <is>
          <t>SKÅNE LÄN</t>
        </is>
      </c>
      <c r="G448" t="inlineStr">
        <is>
          <t>ÖSTRA GÖINGE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46261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46261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46261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46261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46261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46261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46261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46261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46261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46261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46261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46261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46261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46261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46261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46261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46261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46261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46261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46261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46261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46261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46261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46261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46261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46261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46261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46261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46261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46261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46261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46261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46261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46261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46261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46261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46261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46261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46261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46261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46261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46261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2026-08-27T01:50:13Z</dcterms:created>
  <dcterms:modified xmlns:dcterms="http://purl.org/dc/terms/" xmlns:xsi="http://www.w3.org/2001/XMLSchema-instance" xsi:type="dcterms:W3CDTF">2026-08-27T01:50:13Z</dcterms:modified>
</cp:coreProperties>
</file>