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46218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46218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46218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s="2" t="inlineStr">
        <is>
          <t>Barbastell
Brunlångöra
Nordfladdermus
Platt fjädermossa
Västlig hakmossa
Större brunfladdermus</t>
        </is>
      </c>
      <c r="V4">
        <f>HYPERLINK("https://klasma.github.io/Logging_1256/artfynd/A 35525-2025 artfynd.xlsx", "A 35525-2025")</f>
        <v/>
      </c>
      <c r="W4">
        <f>HYPERLINK("https://klasma.github.io/Logging_1256/kartor/A 35525-2025 karta.png", "A 35525-2025")</f>
        <v/>
      </c>
      <c r="Y4">
        <f>HYPERLINK("https://klasma.github.io/Logging_1256/klagomål/A 35525-2025 FSC-klagomål.docx", "A 35525-2025")</f>
        <v/>
      </c>
      <c r="Z4">
        <f>HYPERLINK("https://klasma.github.io/Logging_1256/klagomålsmail/A 35525-2025 FSC-klagomål mail.docx", "A 35525-2025")</f>
        <v/>
      </c>
      <c r="AA4">
        <f>HYPERLINK("https://klasma.github.io/Logging_1256/tillsyn/A 35525-2025 tillsynsbegäran.docx", "A 35525-2025")</f>
        <v/>
      </c>
      <c r="AB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46218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s="2" t="inlineStr">
        <is>
          <t>Småvänderot
Blomkålssvamp
Blåmossa
Rödgul trumpetsvamp
Stor revmossa
Kungsfågel</t>
        </is>
      </c>
      <c r="V5">
        <f>HYPERLINK("https://klasma.github.io/Logging_1256/artfynd/A 3578-2026 artfynd.xlsx", "A 3578-2026")</f>
        <v/>
      </c>
      <c r="W5">
        <f>HYPERLINK("https://klasma.github.io/Logging_1256/kartor/A 3578-2026 karta.png", "A 3578-2026")</f>
        <v/>
      </c>
      <c r="Y5">
        <f>HYPERLINK("https://klasma.github.io/Logging_1256/klagomål/A 3578-2026 FSC-klagomål.docx", "A 3578-2026")</f>
        <v/>
      </c>
      <c r="Z5">
        <f>HYPERLINK("https://klasma.github.io/Logging_1256/klagomålsmail/A 3578-2026 FSC-klagomål mail.docx", "A 3578-2026")</f>
        <v/>
      </c>
      <c r="AA5">
        <f>HYPERLINK("https://klasma.github.io/Logging_1256/tillsyn/A 3578-2026 tillsynsbegäran.docx", "A 3578-2026")</f>
        <v/>
      </c>
      <c r="AB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46218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46218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46218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46218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Y9">
        <f>HYPERLINK("https://klasma.github.io/Logging_1256/klagomål/S 449-2022 FSC-klagomål.docx", "S 449-2022")</f>
        <v/>
      </c>
      <c r="Z9">
        <f>HYPERLINK("https://klasma.github.io/Logging_1256/klagomålsmail/S 449-2022 FSC-klagomål mail.docx", "S 449-2022")</f>
        <v/>
      </c>
      <c r="AA9">
        <f>HYPERLINK("https://klasma.github.io/Logging_1256/tillsyn/S 449-2022 tillsynsbegäran.docx", "S 449-2022")</f>
        <v/>
      </c>
      <c r="AB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46218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Skogsduva
Svartvit flugsnappare
Ärtsångare</t>
        </is>
      </c>
      <c r="V10">
        <f>HYPERLINK("https://klasma.github.io/Logging_1256/artfynd/A 63634-2023 artfynd.xlsx", "A 63634-2023")</f>
        <v/>
      </c>
      <c r="W10">
        <f>HYPERLINK("https://klasma.github.io/Logging_1256/kartor/A 63634-2023 karta.png", "A 63634-2023")</f>
        <v/>
      </c>
      <c r="Y10">
        <f>HYPERLINK("https://klasma.github.io/Logging_1256/klagomål/A 63634-2023 FSC-klagomål.docx", "A 63634-2023")</f>
        <v/>
      </c>
      <c r="Z10">
        <f>HYPERLINK("https://klasma.github.io/Logging_1256/klagomålsmail/A 63634-2023 FSC-klagomål mail.docx", "A 63634-2023")</f>
        <v/>
      </c>
      <c r="AA10">
        <f>HYPERLINK("https://klasma.github.io/Logging_1256/tillsyn/A 63634-2023 tillsynsbegäran.docx", "A 63634-2023")</f>
        <v/>
      </c>
      <c r="AB10">
        <f>HYPERLINK("https://klasma.github.io/Logging_1256/tillsynsmail/A 63634-2023 tillsynsbegäran mail.docx", "A 63634-2023")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46218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Krusfrö
Rödlånke
Grönvit nattviol</t>
        </is>
      </c>
      <c r="V11">
        <f>HYPERLINK("https://klasma.github.io/Logging_1256/artfynd/A 62140-2023 artfynd.xlsx", "A 62140-2023")</f>
        <v/>
      </c>
      <c r="W11">
        <f>HYPERLINK("https://klasma.github.io/Logging_1256/kartor/A 62140-2023 karta.png", "A 62140-2023")</f>
        <v/>
      </c>
      <c r="Y11">
        <f>HYPERLINK("https://klasma.github.io/Logging_1256/klagomål/A 62140-2023 FSC-klagomål.docx", "A 62140-2023")</f>
        <v/>
      </c>
      <c r="Z11">
        <f>HYPERLINK("https://klasma.github.io/Logging_1256/klagomålsmail/A 62140-2023 FSC-klagomål mail.docx", "A 62140-2023")</f>
        <v/>
      </c>
      <c r="AA11">
        <f>HYPERLINK("https://klasma.github.io/Logging_1256/tillsyn/A 62140-2023 tillsynsbegäran.docx", "A 62140-2023")</f>
        <v/>
      </c>
      <c r="AB11">
        <f>HYPERLINK("https://klasma.github.io/Logging_1256/tillsynsmail/A 62140-2023 tillsynsbegäran mail.docx", "A 62140-2023")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46218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Havstulpanlav
Rostfläck
Glansfläck</t>
        </is>
      </c>
      <c r="V12">
        <f>HYPERLINK("https://klasma.github.io/Logging_1256/artfynd/A 22740-2026 artfynd.xlsx", "A 22740-2026")</f>
        <v/>
      </c>
      <c r="W12">
        <f>HYPERLINK("https://klasma.github.io/Logging_1256/kartor/A 22740-2026 karta.png", "A 22740-2026")</f>
        <v/>
      </c>
      <c r="Y12">
        <f>HYPERLINK("https://klasma.github.io/Logging_1256/klagomål/A 22740-2026 FSC-klagomål.docx", "A 22740-2026")</f>
        <v/>
      </c>
      <c r="Z12">
        <f>HYPERLINK("https://klasma.github.io/Logging_1256/klagomålsmail/A 22740-2026 FSC-klagomål mail.docx", "A 22740-2026")</f>
        <v/>
      </c>
      <c r="AA12">
        <f>HYPERLINK("https://klasma.github.io/Logging_1256/tillsyn/A 22740-2026 tillsynsbegäran.docx", "A 22740-2026")</f>
        <v/>
      </c>
      <c r="AB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46218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Y13">
        <f>HYPERLINK("https://klasma.github.io/Logging_1256/klagomål/S 2860-2024 FSC-klagomål.docx", "S 2860-2024")</f>
        <v/>
      </c>
      <c r="Z13">
        <f>HYPERLINK("https://klasma.github.io/Logging_1256/klagomålsmail/S 2860-2024 FSC-klagomål mail.docx", "S 2860-2024")</f>
        <v/>
      </c>
      <c r="AA13">
        <f>HYPERLINK("https://klasma.github.io/Logging_1256/tillsyn/S 2860-2024 tillsynsbegäran.docx", "S 2860-2024")</f>
        <v/>
      </c>
      <c r="AB13">
        <f>HYPERLINK("https://klasma.github.io/Logging_1256/tillsynsmail/S 2860-2024 tillsynsbegäran mail.docx", "S 2860-2024")</f>
        <v/>
      </c>
    </row>
    <row r="14" ht="15" customHeight="1">
      <c r="A14" t="inlineStr">
        <is>
          <t>S 4322-2021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44393</v>
      </c>
      <c r="E14" s="1" t="n">
        <v>46218</v>
      </c>
      <c r="F14" t="inlineStr">
        <is>
          <t>SKÅNE LÄN</t>
        </is>
      </c>
      <c r="G14" t="inlineStr">
        <is>
          <t>ÖSTRA GÖINGE</t>
        </is>
      </c>
      <c r="I14" t="n">
        <v>19.1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Gullpudra
Mindre hackspett
Rikfruktig blemlav</t>
        </is>
      </c>
      <c r="V14">
        <f>HYPERLINK("https://klasma.github.io/Logging_1256/artfynd/S 4322-2021 artfynd.xlsx", "S 4322-2021")</f>
        <v/>
      </c>
      <c r="W14">
        <f>HYPERLINK("https://klasma.github.io/Logging_1256/kartor/S 4322-2021 karta.png", "S 4322-2021")</f>
        <v/>
      </c>
      <c r="Y14">
        <f>HYPERLINK("https://klasma.github.io/Logging_1256/klagomål/S 4322-2021 FSC-klagomål.docx", "S 4322-2021")</f>
        <v/>
      </c>
      <c r="Z14">
        <f>HYPERLINK("https://klasma.github.io/Logging_1256/klagomålsmail/S 4322-2021 FSC-klagomål mail.docx", "S 4322-2021")</f>
        <v/>
      </c>
      <c r="AA14">
        <f>HYPERLINK("https://klasma.github.io/Logging_1256/tillsyn/S 4322-2021 tillsynsbegäran.docx", "S 4322-2021")</f>
        <v/>
      </c>
      <c r="AB14">
        <f>HYPERLINK("https://klasma.github.io/Logging_1256/tillsynsmail/S 4322-2021 tillsynsbegäran mail.docx", "S 4322-2021")</f>
        <v/>
      </c>
      <c r="AC14">
        <f>HYPERLINK("https://klasma.github.io/Logging_1256/fåglar/S 4322-2021 prioriterade fågelarter.docx", "S 4322-2021")</f>
        <v/>
      </c>
    </row>
    <row r="15" ht="15" customHeight="1">
      <c r="A15" t="inlineStr">
        <is>
          <t>S 378-2024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46218</v>
      </c>
      <c r="F15" t="inlineStr">
        <is>
          <t>SKÅNE LÄN</t>
        </is>
      </c>
      <c r="G15" t="inlineStr">
        <is>
          <t>ÖSTRA GÖINGE</t>
        </is>
      </c>
      <c r="I15" t="n">
        <v>33.3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s="2" t="inlineStr">
        <is>
          <t>Bokvårtlav
Havstulpanlav
Västlig hakmossa</t>
        </is>
      </c>
      <c r="V15">
        <f>HYPERLINK("https://klasma.github.io/Logging_1256/artfynd/S 378-2024 artfynd.xlsx", "S 378-2024")</f>
        <v/>
      </c>
      <c r="W15">
        <f>HYPERLINK("https://klasma.github.io/Logging_1256/kartor/S 378-2024 karta.png", "S 378-2024")</f>
        <v/>
      </c>
      <c r="Y15">
        <f>HYPERLINK("https://klasma.github.io/Logging_1256/klagomål/S 378-2024 FSC-klagomål.docx", "S 378-2024")</f>
        <v/>
      </c>
      <c r="Z15">
        <f>HYPERLINK("https://klasma.github.io/Logging_1256/klagomålsmail/S 378-2024 FSC-klagomål mail.docx", "S 378-2024")</f>
        <v/>
      </c>
      <c r="AA15">
        <f>HYPERLINK("https://klasma.github.io/Logging_1256/tillsyn/S 378-2024 tillsynsbegäran.docx", "S 378-2024")</f>
        <v/>
      </c>
      <c r="AB15">
        <f>HYPERLINK("https://klasma.github.io/Logging_1256/tillsynsmail/S 378-2024 tillsynsbegäran mail.docx", "S 378-2024")</f>
        <v/>
      </c>
    </row>
    <row r="16" ht="15" customHeight="1">
      <c r="A16" t="inlineStr">
        <is>
          <t>S 2831-2023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45166</v>
      </c>
      <c r="E16" s="1" t="n">
        <v>46218</v>
      </c>
      <c r="F16" t="inlineStr">
        <is>
          <t>SKÅNE LÄN</t>
        </is>
      </c>
      <c r="G16" t="inlineStr">
        <is>
          <t>ÖSTRA GÖINGE</t>
        </is>
      </c>
      <c r="I16" t="n">
        <v>22.2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Barkkornlav
Fällmossa
Rostfläck</t>
        </is>
      </c>
      <c r="V16">
        <f>HYPERLINK("https://klasma.github.io/Logging_1256/artfynd/S 2831-2023 artfynd.xlsx", "S 2831-2023")</f>
        <v/>
      </c>
      <c r="W16">
        <f>HYPERLINK("https://klasma.github.io/Logging_1256/kartor/S 2831-2023 karta.png", "S 2831-2023")</f>
        <v/>
      </c>
      <c r="Y16">
        <f>HYPERLINK("https://klasma.github.io/Logging_1256/klagomål/S 2831-2023 FSC-klagomål.docx", "S 2831-2023")</f>
        <v/>
      </c>
      <c r="Z16">
        <f>HYPERLINK("https://klasma.github.io/Logging_1256/klagomålsmail/S 2831-2023 FSC-klagomål mail.docx", "S 2831-2023")</f>
        <v/>
      </c>
      <c r="AA16">
        <f>HYPERLINK("https://klasma.github.io/Logging_1256/tillsyn/S 2831-2023 tillsynsbegäran.docx", "S 2831-2023")</f>
        <v/>
      </c>
      <c r="AB16">
        <f>HYPERLINK("https://klasma.github.io/Logging_1256/tillsynsmail/S 2831-2023 tillsynsbegäran mail.docx", "S 2831-2023")</f>
        <v/>
      </c>
    </row>
    <row r="17" ht="15" customHeight="1">
      <c r="A17" t="inlineStr">
        <is>
          <t>S 462-2023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44964</v>
      </c>
      <c r="E17" s="1" t="n">
        <v>46218</v>
      </c>
      <c r="F17" t="inlineStr">
        <is>
          <t>SKÅNE LÄN</t>
        </is>
      </c>
      <c r="G17" t="inlineStr">
        <is>
          <t>ÖSTRA GÖINGE</t>
        </is>
      </c>
      <c r="I17" t="n">
        <v>45.9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Brandticka
Vanlig groda
Vanlig padda</t>
        </is>
      </c>
      <c r="V17">
        <f>HYPERLINK("https://klasma.github.io/Logging_1256/artfynd/S 462-2023 artfynd.xlsx", "S 462-2023")</f>
        <v/>
      </c>
      <c r="W17">
        <f>HYPERLINK("https://klasma.github.io/Logging_1256/kartor/S 462-2023 karta.png", "S 462-2023")</f>
        <v/>
      </c>
      <c r="Y17">
        <f>HYPERLINK("https://klasma.github.io/Logging_1256/klagomål/S 462-2023 FSC-klagomål.docx", "S 462-2023")</f>
        <v/>
      </c>
      <c r="Z17">
        <f>HYPERLINK("https://klasma.github.io/Logging_1256/klagomålsmail/S 462-2023 FSC-klagomål mail.docx", "S 462-2023")</f>
        <v/>
      </c>
      <c r="AA17">
        <f>HYPERLINK("https://klasma.github.io/Logging_1256/tillsyn/S 462-2023 tillsynsbegäran.docx", "S 462-2023")</f>
        <v/>
      </c>
      <c r="AB17">
        <f>HYPERLINK("https://klasma.github.io/Logging_1256/tillsynsmail/S 462-2023 tillsynsbegäran mail.docx", "S 462-2023")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46218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s="2" t="inlineStr">
        <is>
          <t>Havstulpanlav
Rostfläck
Glansfläck</t>
        </is>
      </c>
      <c r="V18">
        <f>HYPERLINK("https://klasma.github.io/Logging_1256/artfynd/S 1423-2025 artfynd.xlsx", "S 1423-2025")</f>
        <v/>
      </c>
      <c r="W18">
        <f>HYPERLINK("https://klasma.github.io/Logging_1256/kartor/S 1423-2025 karta.png", "S 1423-2025")</f>
        <v/>
      </c>
      <c r="Y18">
        <f>HYPERLINK("https://klasma.github.io/Logging_1256/klagomål/S 1423-2025 FSC-klagomål.docx", "S 1423-2025")</f>
        <v/>
      </c>
      <c r="Z18">
        <f>HYPERLINK("https://klasma.github.io/Logging_1256/klagomålsmail/S 1423-2025 FSC-klagomål mail.docx", "S 1423-2025")</f>
        <v/>
      </c>
      <c r="AA18">
        <f>HYPERLINK("https://klasma.github.io/Logging_1256/tillsyn/S 1423-2025 tillsynsbegäran.docx", "S 1423-2025")</f>
        <v/>
      </c>
      <c r="AB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46218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Grönsångare
Svartvit flugsnappare</t>
        </is>
      </c>
      <c r="V19">
        <f>HYPERLINK("https://klasma.github.io/Logging_1256/artfynd/A 365-2023 artfynd.xlsx", "A 365-2023")</f>
        <v/>
      </c>
      <c r="W19">
        <f>HYPERLINK("https://klasma.github.io/Logging_1256/kartor/A 365-2023 karta.png", "A 365-2023")</f>
        <v/>
      </c>
      <c r="Y19">
        <f>HYPERLINK("https://klasma.github.io/Logging_1256/klagomål/A 365-2023 FSC-klagomål.docx", "A 365-2023")</f>
        <v/>
      </c>
      <c r="Z19">
        <f>HYPERLINK("https://klasma.github.io/Logging_1256/klagomålsmail/A 365-2023 FSC-klagomål mail.docx", "A 365-2023")</f>
        <v/>
      </c>
      <c r="AA19">
        <f>HYPERLINK("https://klasma.github.io/Logging_1256/tillsyn/A 365-2023 tillsynsbegäran.docx", "A 365-2023")</f>
        <v/>
      </c>
      <c r="AB19">
        <f>HYPERLINK("https://klasma.github.io/Logging_1256/tillsynsmail/A 365-2023 tillsynsbegäran mail.docx", "A 365-2023")</f>
        <v/>
      </c>
      <c r="AC19">
        <f>HYPERLINK("https://klasma.github.io/Logging_1256/fåglar/A 365-2023 prioriterade fågelarter.docx", "A 365-2023")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46218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Blomkålssvamp
Västlig hakmossa</t>
        </is>
      </c>
      <c r="V20">
        <f>HYPERLINK("https://klasma.github.io/Logging_1256/artfynd/A 32367-2024 artfynd.xlsx", "A 32367-2024")</f>
        <v/>
      </c>
      <c r="W20">
        <f>HYPERLINK("https://klasma.github.io/Logging_1256/kartor/A 32367-2024 karta.png", "A 32367-2024")</f>
        <v/>
      </c>
      <c r="Y20">
        <f>HYPERLINK("https://klasma.github.io/Logging_1256/klagomål/A 32367-2024 FSC-klagomål.docx", "A 32367-2024")</f>
        <v/>
      </c>
      <c r="Z20">
        <f>HYPERLINK("https://klasma.github.io/Logging_1256/klagomålsmail/A 32367-2024 FSC-klagomål mail.docx", "A 32367-2024")</f>
        <v/>
      </c>
      <c r="AA20">
        <f>HYPERLINK("https://klasma.github.io/Logging_1256/tillsyn/A 32367-2024 tillsynsbegäran.docx", "A 32367-2024")</f>
        <v/>
      </c>
      <c r="AB20">
        <f>HYPERLINK("https://klasma.github.io/Logging_1256/tillsynsmail/A 32367-2024 tillsynsbegäran mail.docx", "A 32367-2024")</f>
        <v/>
      </c>
    </row>
    <row r="21" ht="15" customHeight="1">
      <c r="A21" t="inlineStr">
        <is>
          <t>A 34334-2025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46218</v>
      </c>
      <c r="F21" t="inlineStr">
        <is>
          <t>SKÅNE LÄN</t>
        </is>
      </c>
      <c r="G21" t="inlineStr">
        <is>
          <t>ÖSTRA GÖINGE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Hieracium acriserratum
Svartvit flugsnappare</t>
        </is>
      </c>
      <c r="V21">
        <f>HYPERLINK("https://klasma.github.io/Logging_1256/artfynd/A 34334-2025 artfynd.xlsx", "A 34334-2025")</f>
        <v/>
      </c>
      <c r="W21">
        <f>HYPERLINK("https://klasma.github.io/Logging_1256/kartor/A 34334-2025 karta.png", "A 34334-2025")</f>
        <v/>
      </c>
      <c r="Y21">
        <f>HYPERLINK("https://klasma.github.io/Logging_1256/klagomål/A 34334-2025 FSC-klagomål.docx", "A 34334-2025")</f>
        <v/>
      </c>
      <c r="Z21">
        <f>HYPERLINK("https://klasma.github.io/Logging_1256/klagomålsmail/A 34334-2025 FSC-klagomål mail.docx", "A 34334-2025")</f>
        <v/>
      </c>
      <c r="AA21">
        <f>HYPERLINK("https://klasma.github.io/Logging_1256/tillsyn/A 34334-2025 tillsynsbegäran.docx", "A 34334-2025")</f>
        <v/>
      </c>
      <c r="AB21">
        <f>HYPERLINK("https://klasma.github.io/Logging_1256/tillsynsmail/A 34334-2025 tillsynsbegäran mail.docx", "A 34334-2025")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46218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Mindre hackspett
Kornknutmossa</t>
        </is>
      </c>
      <c r="V22">
        <f>HYPERLINK("https://klasma.github.io/Logging_1256/artfynd/A 62142-2023 artfynd.xlsx", "A 62142-2023")</f>
        <v/>
      </c>
      <c r="W22">
        <f>HYPERLINK("https://klasma.github.io/Logging_1256/kartor/A 62142-2023 karta.png", "A 62142-2023")</f>
        <v/>
      </c>
      <c r="Y22">
        <f>HYPERLINK("https://klasma.github.io/Logging_1256/klagomål/A 62142-2023 FSC-klagomål.docx", "A 62142-2023")</f>
        <v/>
      </c>
      <c r="Z22">
        <f>HYPERLINK("https://klasma.github.io/Logging_1256/klagomålsmail/A 62142-2023 FSC-klagomål mail.docx", "A 62142-2023")</f>
        <v/>
      </c>
      <c r="AA22">
        <f>HYPERLINK("https://klasma.github.io/Logging_1256/tillsyn/A 62142-2023 tillsynsbegäran.docx", "A 62142-2023")</f>
        <v/>
      </c>
      <c r="AB22">
        <f>HYPERLINK("https://klasma.github.io/Logging_1256/tillsynsmail/A 62142-2023 tillsynsbegäran mail.docx", "A 62142-2023")</f>
        <v/>
      </c>
      <c r="AC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46218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Mindre hackspett
Kornknutmossa</t>
        </is>
      </c>
      <c r="V23">
        <f>HYPERLINK("https://klasma.github.io/Logging_1256/artfynd/A 56102-2022 artfynd.xlsx", "A 56102-2022")</f>
        <v/>
      </c>
      <c r="W23">
        <f>HYPERLINK("https://klasma.github.io/Logging_1256/kartor/A 56102-2022 karta.png", "A 56102-2022")</f>
        <v/>
      </c>
      <c r="Y23">
        <f>HYPERLINK("https://klasma.github.io/Logging_1256/klagomål/A 56102-2022 FSC-klagomål.docx", "A 56102-2022")</f>
        <v/>
      </c>
      <c r="Z23">
        <f>HYPERLINK("https://klasma.github.io/Logging_1256/klagomålsmail/A 56102-2022 FSC-klagomål mail.docx", "A 56102-2022")</f>
        <v/>
      </c>
      <c r="AA23">
        <f>HYPERLINK("https://klasma.github.io/Logging_1256/tillsyn/A 56102-2022 tillsynsbegäran.docx", "A 56102-2022")</f>
        <v/>
      </c>
      <c r="AB23">
        <f>HYPERLINK("https://klasma.github.io/Logging_1256/tillsynsmail/A 56102-2022 tillsynsbegäran mail.docx", "A 56102-2022")</f>
        <v/>
      </c>
      <c r="AC23">
        <f>HYPERLINK("https://klasma.github.io/Logging_1256/fåglar/A 56102-2022 prioriterade fågelarter.docx", "A 56102-2022")</f>
        <v/>
      </c>
    </row>
    <row r="24" ht="15" customHeight="1">
      <c r="A24" t="inlineStr">
        <is>
          <t>A 44788-2025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45918</v>
      </c>
      <c r="E24" s="1" t="n">
        <v>46218</v>
      </c>
      <c r="F24" t="inlineStr">
        <is>
          <t>SKÅNE LÄN</t>
        </is>
      </c>
      <c r="G24" t="inlineStr">
        <is>
          <t>ÖSTRA GÖINGE</t>
        </is>
      </c>
      <c r="I24" t="n">
        <v>1.1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Grönsångare
Havstulpanlav</t>
        </is>
      </c>
      <c r="V24">
        <f>HYPERLINK("https://klasma.github.io/Logging_1256/artfynd/A 44788-2025 artfynd.xlsx", "A 44788-2025")</f>
        <v/>
      </c>
      <c r="W24">
        <f>HYPERLINK("https://klasma.github.io/Logging_1256/kartor/A 44788-2025 karta.png", "A 44788-2025")</f>
        <v/>
      </c>
      <c r="Y24">
        <f>HYPERLINK("https://klasma.github.io/Logging_1256/klagomål/A 44788-2025 FSC-klagomål.docx", "A 44788-2025")</f>
        <v/>
      </c>
      <c r="Z24">
        <f>HYPERLINK("https://klasma.github.io/Logging_1256/klagomålsmail/A 44788-2025 FSC-klagomål mail.docx", "A 44788-2025")</f>
        <v/>
      </c>
      <c r="AA24">
        <f>HYPERLINK("https://klasma.github.io/Logging_1256/tillsyn/A 44788-2025 tillsynsbegäran.docx", "A 44788-2025")</f>
        <v/>
      </c>
      <c r="AB24">
        <f>HYPERLINK("https://klasma.github.io/Logging_1256/tillsynsmail/A 44788-2025 tillsynsbegäran mail.docx", "A 44788-2025")</f>
        <v/>
      </c>
      <c r="AC24">
        <f>HYPERLINK("https://klasma.github.io/Logging_1256/fåglar/A 44788-2025 prioriterade fågelarter.docx", "A 44788-2025")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46218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Gullklöver
Fläcknycklar</t>
        </is>
      </c>
      <c r="V25">
        <f>HYPERLINK("https://klasma.github.io/Logging_1256/artfynd/A 37585-2024 artfynd.xlsx", "A 37585-2024")</f>
        <v/>
      </c>
      <c r="W25">
        <f>HYPERLINK("https://klasma.github.io/Logging_1256/kartor/A 37585-2024 karta.png", "A 37585-2024")</f>
        <v/>
      </c>
      <c r="Y25">
        <f>HYPERLINK("https://klasma.github.io/Logging_1256/klagomål/A 37585-2024 FSC-klagomål.docx", "A 37585-2024")</f>
        <v/>
      </c>
      <c r="Z25">
        <f>HYPERLINK("https://klasma.github.io/Logging_1256/klagomålsmail/A 37585-2024 FSC-klagomål mail.docx", "A 37585-2024")</f>
        <v/>
      </c>
      <c r="AA25">
        <f>HYPERLINK("https://klasma.github.io/Logging_1256/tillsyn/A 37585-2024 tillsynsbegäran.docx", "A 37585-2024")</f>
        <v/>
      </c>
      <c r="AB25">
        <f>HYPERLINK("https://klasma.github.io/Logging_1256/tillsynsmail/A 37585-2024 tillsynsbegäran mail.docx", "A 37585-2024")</f>
        <v/>
      </c>
    </row>
    <row r="26" ht="15" customHeight="1">
      <c r="A26" t="inlineStr">
        <is>
          <t>A 34389-2024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45525</v>
      </c>
      <c r="E26" s="1" t="n">
        <v>46218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Pulverädellav
Havstulpanlav</t>
        </is>
      </c>
      <c r="V26">
        <f>HYPERLINK("https://klasma.github.io/Logging_1256/artfynd/A 34389-2024 artfynd.xlsx", "A 34389-2024")</f>
        <v/>
      </c>
      <c r="W26">
        <f>HYPERLINK("https://klasma.github.io/Logging_1256/kartor/A 34389-2024 karta.png", "A 34389-2024")</f>
        <v/>
      </c>
      <c r="Y26">
        <f>HYPERLINK("https://klasma.github.io/Logging_1256/klagomål/A 34389-2024 FSC-klagomål.docx", "A 34389-2024")</f>
        <v/>
      </c>
      <c r="Z26">
        <f>HYPERLINK("https://klasma.github.io/Logging_1256/klagomålsmail/A 34389-2024 FSC-klagomål mail.docx", "A 34389-2024")</f>
        <v/>
      </c>
      <c r="AA26">
        <f>HYPERLINK("https://klasma.github.io/Logging_1256/tillsyn/A 34389-2024 tillsynsbegäran.docx", "A 34389-2024")</f>
        <v/>
      </c>
      <c r="AB26">
        <f>HYPERLINK("https://klasma.github.io/Logging_1256/tillsynsmail/A 34389-2024 tillsynsbegäran mail.docx", "A 34389-2024")</f>
        <v/>
      </c>
    </row>
    <row r="27" ht="15" customHeight="1">
      <c r="A27" t="inlineStr">
        <is>
          <t>A 40166-2024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46218</v>
      </c>
      <c r="F27" t="inlineStr">
        <is>
          <t>SKÅNE LÄN</t>
        </is>
      </c>
      <c r="G27" t="inlineStr">
        <is>
          <t>ÖSTRA GÖINGE</t>
        </is>
      </c>
      <c r="I27" t="n">
        <v>1.4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Grönsångare
Skogsduva</t>
        </is>
      </c>
      <c r="V27">
        <f>HYPERLINK("https://klasma.github.io/Logging_1256/artfynd/A 40166-2024 artfynd.xlsx", "A 40166-2024")</f>
        <v/>
      </c>
      <c r="W27">
        <f>HYPERLINK("https://klasma.github.io/Logging_1256/kartor/A 40166-2024 karta.png", "A 40166-2024")</f>
        <v/>
      </c>
      <c r="Y27">
        <f>HYPERLINK("https://klasma.github.io/Logging_1256/klagomål/A 40166-2024 FSC-klagomål.docx", "A 40166-2024")</f>
        <v/>
      </c>
      <c r="Z27">
        <f>HYPERLINK("https://klasma.github.io/Logging_1256/klagomålsmail/A 40166-2024 FSC-klagomål mail.docx", "A 40166-2024")</f>
        <v/>
      </c>
      <c r="AA27">
        <f>HYPERLINK("https://klasma.github.io/Logging_1256/tillsyn/A 40166-2024 tillsynsbegäran.docx", "A 40166-2024")</f>
        <v/>
      </c>
      <c r="AB27">
        <f>HYPERLINK("https://klasma.github.io/Logging_1256/tillsynsmail/A 40166-2024 tillsynsbegäran mail.docx", "A 40166-2024")</f>
        <v/>
      </c>
      <c r="AC27">
        <f>HYPERLINK("https://klasma.github.io/Logging_1256/fåglar/A 40166-2024 prioriterade fågelarter.docx", "A 40166-2024")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46218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s="2" t="inlineStr">
        <is>
          <t>Dvärglin
Järnsparv</t>
        </is>
      </c>
      <c r="V28">
        <f>HYPERLINK("https://klasma.github.io/Logging_1256/artfynd/A 30306-2025 artfynd.xlsx", "A 30306-2025")</f>
        <v/>
      </c>
      <c r="W28">
        <f>HYPERLINK("https://klasma.github.io/Logging_1256/kartor/A 30306-2025 karta.png", "A 30306-2025")</f>
        <v/>
      </c>
      <c r="Y28">
        <f>HYPERLINK("https://klasma.github.io/Logging_1256/klagomål/A 30306-2025 FSC-klagomål.docx", "A 30306-2025")</f>
        <v/>
      </c>
      <c r="Z28">
        <f>HYPERLINK("https://klasma.github.io/Logging_1256/klagomålsmail/A 30306-2025 FSC-klagomål mail.docx", "A 30306-2025")</f>
        <v/>
      </c>
      <c r="AA28">
        <f>HYPERLINK("https://klasma.github.io/Logging_1256/tillsyn/A 30306-2025 tillsynsbegäran.docx", "A 30306-2025")</f>
        <v/>
      </c>
      <c r="AB28">
        <f>HYPERLINK("https://klasma.github.io/Logging_1256/tillsynsmail/A 30306-2025 tillsynsbegäran mail.docx", "A 30306-2025")</f>
        <v/>
      </c>
      <c r="AC28">
        <f>HYPERLINK("https://klasma.github.io/Logging_1256/fåglar/A 30306-2025 prioriterade fågelarter.docx", "A 30306-2025")</f>
        <v/>
      </c>
    </row>
    <row r="29" ht="15" customHeight="1">
      <c r="A29" t="inlineStr">
        <is>
          <t>A 6314-2023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46218</v>
      </c>
      <c r="F29" t="inlineStr">
        <is>
          <t>SKÅNE LÄN</t>
        </is>
      </c>
      <c r="G29" t="inlineStr">
        <is>
          <t>ÖSTRA GÖINGE</t>
        </is>
      </c>
      <c r="I29" t="n">
        <v>2.1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Skogsduva
Svartvit flugsnappare</t>
        </is>
      </c>
      <c r="V29">
        <f>HYPERLINK("https://klasma.github.io/Logging_1256/artfynd/A 6314-2023 artfynd.xlsx", "A 6314-2023")</f>
        <v/>
      </c>
      <c r="W29">
        <f>HYPERLINK("https://klasma.github.io/Logging_1256/kartor/A 6314-2023 karta.png", "A 6314-2023")</f>
        <v/>
      </c>
      <c r="Y29">
        <f>HYPERLINK("https://klasma.github.io/Logging_1256/klagomål/A 6314-2023 FSC-klagomål.docx", "A 6314-2023")</f>
        <v/>
      </c>
      <c r="Z29">
        <f>HYPERLINK("https://klasma.github.io/Logging_1256/klagomålsmail/A 6314-2023 FSC-klagomål mail.docx", "A 6314-2023")</f>
        <v/>
      </c>
      <c r="AA29">
        <f>HYPERLINK("https://klasma.github.io/Logging_1256/tillsyn/A 6314-2023 tillsynsbegäran.docx", "A 6314-2023")</f>
        <v/>
      </c>
      <c r="AB29">
        <f>HYPERLINK("https://klasma.github.io/Logging_1256/tillsynsmail/A 6314-2023 tillsynsbegäran mail.docx", "A 6314-2023")</f>
        <v/>
      </c>
    </row>
    <row r="30" ht="15" customHeight="1">
      <c r="A30" t="inlineStr">
        <is>
          <t>A 23405-2023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46218</v>
      </c>
      <c r="F30" t="inlineStr">
        <is>
          <t>SKÅNE LÄN</t>
        </is>
      </c>
      <c r="G30" t="inlineStr">
        <is>
          <t>ÖSTRA GÖINGE</t>
        </is>
      </c>
      <c r="I30" t="n">
        <v>2.2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Vanlig groda
Vanlig padda</t>
        </is>
      </c>
      <c r="V30">
        <f>HYPERLINK("https://klasma.github.io/Logging_1256/artfynd/A 23405-2023 artfynd.xlsx", "A 23405-2023")</f>
        <v/>
      </c>
      <c r="W30">
        <f>HYPERLINK("https://klasma.github.io/Logging_1256/kartor/A 23405-2023 karta.png", "A 23405-2023")</f>
        <v/>
      </c>
      <c r="Y30">
        <f>HYPERLINK("https://klasma.github.io/Logging_1256/klagomål/A 23405-2023 FSC-klagomål.docx", "A 23405-2023")</f>
        <v/>
      </c>
      <c r="Z30">
        <f>HYPERLINK("https://klasma.github.io/Logging_1256/klagomålsmail/A 23405-2023 FSC-klagomål mail.docx", "A 23405-2023")</f>
        <v/>
      </c>
      <c r="AA30">
        <f>HYPERLINK("https://klasma.github.io/Logging_1256/tillsyn/A 23405-2023 tillsynsbegäran.docx", "A 23405-2023")</f>
        <v/>
      </c>
      <c r="AB30">
        <f>HYPERLINK("https://klasma.github.io/Logging_1256/tillsynsmail/A 23405-2023 tillsynsbegäran mail.docx", "A 23405-2023")</f>
        <v/>
      </c>
    </row>
    <row r="31" ht="15" customHeight="1">
      <c r="A31" t="inlineStr">
        <is>
          <t>A 30000-2026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46205</v>
      </c>
      <c r="E31" s="1" t="n">
        <v>46218</v>
      </c>
      <c r="F31" t="inlineStr">
        <is>
          <t>SKÅNE LÄN</t>
        </is>
      </c>
      <c r="G31" t="inlineStr">
        <is>
          <t>ÖSTRA GÖINGE</t>
        </is>
      </c>
      <c r="I31" t="n">
        <v>5.5</v>
      </c>
      <c r="J31" t="n">
        <v>0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s="2" t="inlineStr">
        <is>
          <t>Skogsalm
Tibast</t>
        </is>
      </c>
      <c r="V31">
        <f>HYPERLINK("https://klasma.github.io/Logging_1256/artfynd/A 30000-2026 artfynd.xlsx", "A 30000-2026")</f>
        <v/>
      </c>
      <c r="W31">
        <f>HYPERLINK("https://klasma.github.io/Logging_1256/kartor/A 30000-2026 karta.png", "A 30000-2026")</f>
        <v/>
      </c>
      <c r="Y31">
        <f>HYPERLINK("https://klasma.github.io/Logging_1256/klagomål/A 30000-2026 FSC-klagomål.docx", "A 30000-2026")</f>
        <v/>
      </c>
      <c r="Z31">
        <f>HYPERLINK("https://klasma.github.io/Logging_1256/klagomålsmail/A 30000-2026 FSC-klagomål mail.docx", "A 30000-2026")</f>
        <v/>
      </c>
      <c r="AA31">
        <f>HYPERLINK("https://klasma.github.io/Logging_1256/tillsyn/A 30000-2026 tillsynsbegäran.docx", "A 30000-2026")</f>
        <v/>
      </c>
      <c r="AB31">
        <f>HYPERLINK("https://klasma.github.io/Logging_1256/tillsynsmail/A 30000-2026 tillsynsbegäran mail.docx", "A 30000-2026")</f>
        <v/>
      </c>
    </row>
    <row r="32" ht="15" customHeight="1">
      <c r="A32" t="inlineStr">
        <is>
          <t>A 34340-2025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46218</v>
      </c>
      <c r="F32" t="inlineStr">
        <is>
          <t>SKÅNE LÄN</t>
        </is>
      </c>
      <c r="G32" t="inlineStr">
        <is>
          <t>ÖSTRA GÖINGE</t>
        </is>
      </c>
      <c r="I32" t="n">
        <v>1.3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Grönsångare
Svartvit flugsnappare</t>
        </is>
      </c>
      <c r="V32">
        <f>HYPERLINK("https://klasma.github.io/Logging_1256/artfynd/A 34340-2025 artfynd.xlsx", "A 34340-2025")</f>
        <v/>
      </c>
      <c r="W32">
        <f>HYPERLINK("https://klasma.github.io/Logging_1256/kartor/A 34340-2025 karta.png", "A 34340-2025")</f>
        <v/>
      </c>
      <c r="Y32">
        <f>HYPERLINK("https://klasma.github.io/Logging_1256/klagomål/A 34340-2025 FSC-klagomål.docx", "A 34340-2025")</f>
        <v/>
      </c>
      <c r="Z32">
        <f>HYPERLINK("https://klasma.github.io/Logging_1256/klagomålsmail/A 34340-2025 FSC-klagomål mail.docx", "A 34340-2025")</f>
        <v/>
      </c>
      <c r="AA32">
        <f>HYPERLINK("https://klasma.github.io/Logging_1256/tillsyn/A 34340-2025 tillsynsbegäran.docx", "A 34340-2025")</f>
        <v/>
      </c>
      <c r="AB32">
        <f>HYPERLINK("https://klasma.github.io/Logging_1256/tillsynsmail/A 34340-2025 tillsynsbegäran mail.docx", "A 34340-2025")</f>
        <v/>
      </c>
      <c r="AC32">
        <f>HYPERLINK("https://klasma.github.io/Logging_1256/fåglar/A 34340-2025 prioriterade fågelarter.docx", "A 34340-2025")</f>
        <v/>
      </c>
    </row>
    <row r="33" ht="15" customHeight="1">
      <c r="A33" t="inlineStr">
        <is>
          <t>S 531-2023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44967</v>
      </c>
      <c r="E33" s="1" t="n">
        <v>46218</v>
      </c>
      <c r="F33" t="inlineStr">
        <is>
          <t>SKÅNE LÄN</t>
        </is>
      </c>
      <c r="G33" t="inlineStr">
        <is>
          <t>ÖSTRA GÖINGE</t>
        </is>
      </c>
      <c r="I33" t="n">
        <v>25.3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s="2" t="inlineStr">
        <is>
          <t>Nötkråka
Svart skogssnigel</t>
        </is>
      </c>
      <c r="V33">
        <f>HYPERLINK("https://klasma.github.io/Logging_1256/artfynd/S 531-2023 artfynd.xlsx", "S 531-2023")</f>
        <v/>
      </c>
      <c r="W33">
        <f>HYPERLINK("https://klasma.github.io/Logging_1256/kartor/S 531-2023 karta.png", "S 531-2023")</f>
        <v/>
      </c>
      <c r="Y33">
        <f>HYPERLINK("https://klasma.github.io/Logging_1256/klagomål/S 531-2023 FSC-klagomål.docx", "S 531-2023")</f>
        <v/>
      </c>
      <c r="Z33">
        <f>HYPERLINK("https://klasma.github.io/Logging_1256/klagomålsmail/S 531-2023 FSC-klagomål mail.docx", "S 531-2023")</f>
        <v/>
      </c>
      <c r="AA33">
        <f>HYPERLINK("https://klasma.github.io/Logging_1256/tillsyn/S 531-2023 tillsynsbegäran.docx", "S 531-2023")</f>
        <v/>
      </c>
      <c r="AB33">
        <f>HYPERLINK("https://klasma.github.io/Logging_1256/tillsynsmail/S 531-2023 tillsynsbegäran mail.docx", "S 531-2023")</f>
        <v/>
      </c>
      <c r="AC33">
        <f>HYPERLINK("https://klasma.github.io/Logging_1256/fåglar/S 531-2023 prioriterade fågelarter.docx", "S 531-2023")</f>
        <v/>
      </c>
    </row>
    <row r="34" ht="15" customHeight="1">
      <c r="A34" t="inlineStr">
        <is>
          <t>S 463-2025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45702</v>
      </c>
      <c r="E34" s="1" t="n">
        <v>46218</v>
      </c>
      <c r="F34" t="inlineStr">
        <is>
          <t>SKÅNE LÄN</t>
        </is>
      </c>
      <c r="G34" t="inlineStr">
        <is>
          <t>ÖSTRA GÖINGE</t>
        </is>
      </c>
      <c r="I34" t="n">
        <v>67.59999999999999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7</v>
      </c>
      <c r="U34" s="2" t="inlineStr">
        <is>
          <t>Vildris
Safsa</t>
        </is>
      </c>
      <c r="V34">
        <f>HYPERLINK("https://klasma.github.io/Logging_1256/artfynd/S 463-2025 artfynd.xlsx", "S 463-2025")</f>
        <v/>
      </c>
      <c r="W34">
        <f>HYPERLINK("https://klasma.github.io/Logging_1256/kartor/S 463-2025 karta.png", "S 463-2025")</f>
        <v/>
      </c>
      <c r="Y34">
        <f>HYPERLINK("https://klasma.github.io/Logging_1256/klagomål/S 463-2025 FSC-klagomål.docx", "S 463-2025")</f>
        <v/>
      </c>
      <c r="Z34">
        <f>HYPERLINK("https://klasma.github.io/Logging_1256/klagomålsmail/S 463-2025 FSC-klagomål mail.docx", "S 463-2025")</f>
        <v/>
      </c>
      <c r="AA34">
        <f>HYPERLINK("https://klasma.github.io/Logging_1256/tillsyn/S 463-2025 tillsynsbegäran.docx", "S 463-2025")</f>
        <v/>
      </c>
      <c r="AB34">
        <f>HYPERLINK("https://klasma.github.io/Logging_1256/tillsynsmail/S 463-2025 tillsynsbegäran mail.docx", "S 463-2025")</f>
        <v/>
      </c>
    </row>
    <row r="35" ht="15" customHeight="1">
      <c r="A35" t="inlineStr">
        <is>
          <t>S 815-2025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45730</v>
      </c>
      <c r="E35" s="1" t="n">
        <v>46218</v>
      </c>
      <c r="F35" t="inlineStr">
        <is>
          <t>SKÅNE LÄN</t>
        </is>
      </c>
      <c r="G35" t="inlineStr">
        <is>
          <t>ÖSTRA GÖINGE</t>
        </is>
      </c>
      <c r="I35" t="n">
        <v>55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s="2" t="inlineStr">
        <is>
          <t>Småvänderot
Safsa</t>
        </is>
      </c>
      <c r="V35">
        <f>HYPERLINK("https://klasma.github.io/Logging_1256/artfynd/S 815-2025 artfynd.xlsx", "S 815-2025")</f>
        <v/>
      </c>
      <c r="W35">
        <f>HYPERLINK("https://klasma.github.io/Logging_1256/kartor/S 815-2025 karta.png", "S 815-2025")</f>
        <v/>
      </c>
      <c r="Y35">
        <f>HYPERLINK("https://klasma.github.io/Logging_1256/klagomål/S 815-2025 FSC-klagomål.docx", "S 815-2025")</f>
        <v/>
      </c>
      <c r="Z35">
        <f>HYPERLINK("https://klasma.github.io/Logging_1256/klagomålsmail/S 815-2025 FSC-klagomål mail.docx", "S 815-2025")</f>
        <v/>
      </c>
      <c r="AA35">
        <f>HYPERLINK("https://klasma.github.io/Logging_1256/tillsyn/S 815-2025 tillsynsbegäran.docx", "S 815-2025")</f>
        <v/>
      </c>
      <c r="AB35">
        <f>HYPERLINK("https://klasma.github.io/Logging_1256/tillsynsmail/S 815-2025 tillsynsbegäran mail.docx", "S 815-2025")</f>
        <v/>
      </c>
    </row>
    <row r="36" ht="15" customHeight="1">
      <c r="A36" t="inlineStr">
        <is>
          <t>S 2661-2025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45923</v>
      </c>
      <c r="E36" s="1" t="n">
        <v>46218</v>
      </c>
      <c r="F36" t="inlineStr">
        <is>
          <t>SKÅNE LÄN</t>
        </is>
      </c>
      <c r="G36" t="inlineStr">
        <is>
          <t>ÖSTRA GÖINGE</t>
        </is>
      </c>
      <c r="I36" t="n">
        <v>0.1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Bokvårtlav
Havstulpanlav</t>
        </is>
      </c>
      <c r="V36">
        <f>HYPERLINK("https://klasma.github.io/Logging_1256/artfynd/S 2661-2025 artfynd.xlsx", "S 2661-2025")</f>
        <v/>
      </c>
      <c r="W36">
        <f>HYPERLINK("https://klasma.github.io/Logging_1256/kartor/S 2661-2025 karta.png", "S 2661-2025")</f>
        <v/>
      </c>
      <c r="Y36">
        <f>HYPERLINK("https://klasma.github.io/Logging_1256/klagomål/S 2661-2025 FSC-klagomål.docx", "S 2661-2025")</f>
        <v/>
      </c>
      <c r="Z36">
        <f>HYPERLINK("https://klasma.github.io/Logging_1256/klagomålsmail/S 2661-2025 FSC-klagomål mail.docx", "S 2661-2025")</f>
        <v/>
      </c>
      <c r="AA36">
        <f>HYPERLINK("https://klasma.github.io/Logging_1256/tillsyn/S 2661-2025 tillsynsbegäran.docx", "S 2661-2025")</f>
        <v/>
      </c>
      <c r="AB36">
        <f>HYPERLINK("https://klasma.github.io/Logging_1256/tillsynsmail/S 2661-2025 tillsynsbegäran mail.docx", "S 2661-2025")</f>
        <v/>
      </c>
    </row>
    <row r="37" ht="15" customHeight="1">
      <c r="A37" t="inlineStr">
        <is>
          <t>A 51559-2021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44462</v>
      </c>
      <c r="E37" s="1" t="n">
        <v>46218</v>
      </c>
      <c r="F37" t="inlineStr">
        <is>
          <t>SKÅNE LÄN</t>
        </is>
      </c>
      <c r="G37" t="inlineStr">
        <is>
          <t>ÖSTRA GÖINGE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Gullviva</t>
        </is>
      </c>
      <c r="V37">
        <f>HYPERLINK("https://klasma.github.io/Logging_1256/artfynd/A 51559-2021 artfynd.xlsx", "A 51559-2021")</f>
        <v/>
      </c>
      <c r="W37">
        <f>HYPERLINK("https://klasma.github.io/Logging_1256/kartor/A 51559-2021 karta.png", "A 51559-2021")</f>
        <v/>
      </c>
      <c r="Y37">
        <f>HYPERLINK("https://klasma.github.io/Logging_1256/klagomål/A 51559-2021 FSC-klagomål.docx", "A 51559-2021")</f>
        <v/>
      </c>
      <c r="Z37">
        <f>HYPERLINK("https://klasma.github.io/Logging_1256/klagomålsmail/A 51559-2021 FSC-klagomål mail.docx", "A 51559-2021")</f>
        <v/>
      </c>
      <c r="AA37">
        <f>HYPERLINK("https://klasma.github.io/Logging_1256/tillsyn/A 51559-2021 tillsynsbegäran.docx", "A 51559-2021")</f>
        <v/>
      </c>
      <c r="AB37">
        <f>HYPERLINK("https://klasma.github.io/Logging_1256/tillsynsmail/A 51559-2021 tillsynsbegäran mail.docx", "A 51559-2021")</f>
        <v/>
      </c>
    </row>
    <row r="38" ht="15" customHeight="1">
      <c r="A38" t="inlineStr">
        <is>
          <t>A 2697-2022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46218</v>
      </c>
      <c r="F38" t="inlineStr">
        <is>
          <t>SKÅNE LÄN</t>
        </is>
      </c>
      <c r="G38" t="inlineStr">
        <is>
          <t>ÖSTRA GÖINGE</t>
        </is>
      </c>
      <c r="I38" t="n">
        <v>1.3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Grönsångare</t>
        </is>
      </c>
      <c r="V38">
        <f>HYPERLINK("https://klasma.github.io/Logging_1256/artfynd/A 2697-2022 artfynd.xlsx", "A 2697-2022")</f>
        <v/>
      </c>
      <c r="W38">
        <f>HYPERLINK("https://klasma.github.io/Logging_1256/kartor/A 2697-2022 karta.png", "A 2697-2022")</f>
        <v/>
      </c>
      <c r="Y38">
        <f>HYPERLINK("https://klasma.github.io/Logging_1256/klagomål/A 2697-2022 FSC-klagomål.docx", "A 2697-2022")</f>
        <v/>
      </c>
      <c r="Z38">
        <f>HYPERLINK("https://klasma.github.io/Logging_1256/klagomålsmail/A 2697-2022 FSC-klagomål mail.docx", "A 2697-2022")</f>
        <v/>
      </c>
      <c r="AA38">
        <f>HYPERLINK("https://klasma.github.io/Logging_1256/tillsyn/A 2697-2022 tillsynsbegäran.docx", "A 2697-2022")</f>
        <v/>
      </c>
      <c r="AB38">
        <f>HYPERLINK("https://klasma.github.io/Logging_1256/tillsynsmail/A 2697-2022 tillsynsbegäran mail.docx", "A 2697-2022")</f>
        <v/>
      </c>
      <c r="AC38">
        <f>HYPERLINK("https://klasma.github.io/Logging_1256/fåglar/A 2697-2022 prioriterade fågelarter.docx", "A 2697-2022")</f>
        <v/>
      </c>
    </row>
    <row r="39" ht="15" customHeight="1">
      <c r="A39" t="inlineStr">
        <is>
          <t>A 2063-2022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46218</v>
      </c>
      <c r="F39" t="inlineStr">
        <is>
          <t>SKÅNE LÄN</t>
        </is>
      </c>
      <c r="G39" t="inlineStr">
        <is>
          <t>ÖSTRA GÖINGE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Safsa</t>
        </is>
      </c>
      <c r="V39">
        <f>HYPERLINK("https://klasma.github.io/Logging_1256/artfynd/A 2063-2022 artfynd.xlsx", "A 2063-2022")</f>
        <v/>
      </c>
      <c r="W39">
        <f>HYPERLINK("https://klasma.github.io/Logging_1256/kartor/A 2063-2022 karta.png", "A 2063-2022")</f>
        <v/>
      </c>
      <c r="Y39">
        <f>HYPERLINK("https://klasma.github.io/Logging_1256/klagomål/A 2063-2022 FSC-klagomål.docx", "A 2063-2022")</f>
        <v/>
      </c>
      <c r="Z39">
        <f>HYPERLINK("https://klasma.github.io/Logging_1256/klagomålsmail/A 2063-2022 FSC-klagomål mail.docx", "A 2063-2022")</f>
        <v/>
      </c>
      <c r="AA39">
        <f>HYPERLINK("https://klasma.github.io/Logging_1256/tillsyn/A 2063-2022 tillsynsbegäran.docx", "A 2063-2022")</f>
        <v/>
      </c>
      <c r="AB39">
        <f>HYPERLINK("https://klasma.github.io/Logging_1256/tillsynsmail/A 2063-2022 tillsynsbegäran mail.docx", "A 2063-2022")</f>
        <v/>
      </c>
    </row>
    <row r="40" ht="15" customHeight="1">
      <c r="A40" t="inlineStr">
        <is>
          <t>A 38965-2025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46218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Gullklöver</t>
        </is>
      </c>
      <c r="V40">
        <f>HYPERLINK("https://klasma.github.io/Logging_1256/artfynd/A 38965-2025 artfynd.xlsx", "A 38965-2025")</f>
        <v/>
      </c>
      <c r="W40">
        <f>HYPERLINK("https://klasma.github.io/Logging_1256/kartor/A 38965-2025 karta.png", "A 38965-2025")</f>
        <v/>
      </c>
      <c r="Y40">
        <f>HYPERLINK("https://klasma.github.io/Logging_1256/klagomål/A 38965-2025 FSC-klagomål.docx", "A 38965-2025")</f>
        <v/>
      </c>
      <c r="Z40">
        <f>HYPERLINK("https://klasma.github.io/Logging_1256/klagomålsmail/A 38965-2025 FSC-klagomål mail.docx", "A 38965-2025")</f>
        <v/>
      </c>
      <c r="AA40">
        <f>HYPERLINK("https://klasma.github.io/Logging_1256/tillsyn/A 38965-2025 tillsynsbegäran.docx", "A 38965-2025")</f>
        <v/>
      </c>
      <c r="AB40">
        <f>HYPERLINK("https://klasma.github.io/Logging_1256/tillsynsmail/A 38965-2025 tillsynsbegäran mail.docx", "A 38965-2025")</f>
        <v/>
      </c>
    </row>
    <row r="41" ht="15" customHeight="1">
      <c r="A41" t="inlineStr">
        <is>
          <t>A 2695-2022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46218</v>
      </c>
      <c r="F41" t="inlineStr">
        <is>
          <t>SKÅNE LÄN</t>
        </is>
      </c>
      <c r="G41" t="inlineStr">
        <is>
          <t>ÖSTRA GÖINGE</t>
        </is>
      </c>
      <c r="I41" t="n">
        <v>2.5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Grönsångare</t>
        </is>
      </c>
      <c r="V41">
        <f>HYPERLINK("https://klasma.github.io/Logging_1256/artfynd/A 2695-2022 artfynd.xlsx", "A 2695-2022")</f>
        <v/>
      </c>
      <c r="W41">
        <f>HYPERLINK("https://klasma.github.io/Logging_1256/kartor/A 2695-2022 karta.png", "A 2695-2022")</f>
        <v/>
      </c>
      <c r="Y41">
        <f>HYPERLINK("https://klasma.github.io/Logging_1256/klagomål/A 2695-2022 FSC-klagomål.docx", "A 2695-2022")</f>
        <v/>
      </c>
      <c r="Z41">
        <f>HYPERLINK("https://klasma.github.io/Logging_1256/klagomålsmail/A 2695-2022 FSC-klagomål mail.docx", "A 2695-2022")</f>
        <v/>
      </c>
      <c r="AA41">
        <f>HYPERLINK("https://klasma.github.io/Logging_1256/tillsyn/A 2695-2022 tillsynsbegäran.docx", "A 2695-2022")</f>
        <v/>
      </c>
      <c r="AB41">
        <f>HYPERLINK("https://klasma.github.io/Logging_1256/tillsynsmail/A 2695-2022 tillsynsbegäran mail.docx", "A 2695-2022")</f>
        <v/>
      </c>
      <c r="AC41">
        <f>HYPERLINK("https://klasma.github.io/Logging_1256/fåglar/A 2695-2022 prioriterade fågelarter.docx", "A 2695-2022")</f>
        <v/>
      </c>
    </row>
    <row r="42" ht="15" customHeight="1">
      <c r="A42" t="inlineStr">
        <is>
          <t>A 4892-2023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44958</v>
      </c>
      <c r="E42" s="1" t="n">
        <v>46218</v>
      </c>
      <c r="F42" t="inlineStr">
        <is>
          <t>SKÅNE LÄN</t>
        </is>
      </c>
      <c r="G42" t="inlineStr">
        <is>
          <t>ÖSTRA GÖINGE</t>
        </is>
      </c>
      <c r="I42" t="n">
        <v>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Gulsparv</t>
        </is>
      </c>
      <c r="V42">
        <f>HYPERLINK("https://klasma.github.io/Logging_1256/artfynd/A 4892-2023 artfynd.xlsx", "A 4892-2023")</f>
        <v/>
      </c>
      <c r="W42">
        <f>HYPERLINK("https://klasma.github.io/Logging_1256/kartor/A 4892-2023 karta.png", "A 4892-2023")</f>
        <v/>
      </c>
      <c r="Y42">
        <f>HYPERLINK("https://klasma.github.io/Logging_1256/klagomål/A 4892-2023 FSC-klagomål.docx", "A 4892-2023")</f>
        <v/>
      </c>
      <c r="Z42">
        <f>HYPERLINK("https://klasma.github.io/Logging_1256/klagomålsmail/A 4892-2023 FSC-klagomål mail.docx", "A 4892-2023")</f>
        <v/>
      </c>
      <c r="AA42">
        <f>HYPERLINK("https://klasma.github.io/Logging_1256/tillsyn/A 4892-2023 tillsynsbegäran.docx", "A 4892-2023")</f>
        <v/>
      </c>
      <c r="AB42">
        <f>HYPERLINK("https://klasma.github.io/Logging_1256/tillsynsmail/A 4892-2023 tillsynsbegäran mail.docx", "A 4892-2023")</f>
        <v/>
      </c>
      <c r="AC42">
        <f>HYPERLINK("https://klasma.github.io/Logging_1256/fåglar/A 4892-2023 prioriterade fågelarter.docx", "A 4892-2023")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46218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Gullpudra</t>
        </is>
      </c>
      <c r="V43">
        <f>HYPERLINK("https://klasma.github.io/Logging_1256/artfynd/A 35037-2024 artfynd.xlsx", "A 35037-2024")</f>
        <v/>
      </c>
      <c r="W43">
        <f>HYPERLINK("https://klasma.github.io/Logging_1256/kartor/A 35037-2024 karta.png", "A 35037-2024")</f>
        <v/>
      </c>
      <c r="Y43">
        <f>HYPERLINK("https://klasma.github.io/Logging_1256/klagomål/A 35037-2024 FSC-klagomål.docx", "A 35037-2024")</f>
        <v/>
      </c>
      <c r="Z43">
        <f>HYPERLINK("https://klasma.github.io/Logging_1256/klagomålsmail/A 35037-2024 FSC-klagomål mail.docx", "A 35037-2024")</f>
        <v/>
      </c>
      <c r="AA43">
        <f>HYPERLINK("https://klasma.github.io/Logging_1256/tillsyn/A 35037-2024 tillsynsbegäran.docx", "A 35037-2024")</f>
        <v/>
      </c>
      <c r="AB43">
        <f>HYPERLINK("https://klasma.github.io/Logging_1256/tillsynsmail/A 35037-2024 tillsynsbegäran mail.docx", "A 35037-2024")</f>
        <v/>
      </c>
    </row>
    <row r="44" ht="15" customHeight="1">
      <c r="A44" t="inlineStr">
        <is>
          <t>A 5468-2024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45332</v>
      </c>
      <c r="E44" s="1" t="n">
        <v>46218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Slåttergubbe</t>
        </is>
      </c>
      <c r="V44">
        <f>HYPERLINK("https://klasma.github.io/Logging_1256/artfynd/A 5468-2024 artfynd.xlsx", "A 5468-2024")</f>
        <v/>
      </c>
      <c r="W44">
        <f>HYPERLINK("https://klasma.github.io/Logging_1256/kartor/A 5468-2024 karta.png", "A 5468-2024")</f>
        <v/>
      </c>
      <c r="Y44">
        <f>HYPERLINK("https://klasma.github.io/Logging_1256/klagomål/A 5468-2024 FSC-klagomål.docx", "A 5468-2024")</f>
        <v/>
      </c>
      <c r="Z44">
        <f>HYPERLINK("https://klasma.github.io/Logging_1256/klagomålsmail/A 5468-2024 FSC-klagomål mail.docx", "A 5468-2024")</f>
        <v/>
      </c>
      <c r="AA44">
        <f>HYPERLINK("https://klasma.github.io/Logging_1256/tillsyn/A 5468-2024 tillsynsbegäran.docx", "A 5468-2024")</f>
        <v/>
      </c>
      <c r="AB44">
        <f>HYPERLINK("https://klasma.github.io/Logging_1256/tillsynsmail/A 5468-2024 tillsynsbegäran mail.docx", "A 5468-2024")</f>
        <v/>
      </c>
    </row>
    <row r="45" ht="15" customHeight="1">
      <c r="A45" t="inlineStr">
        <is>
          <t>A 62060-2022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44918</v>
      </c>
      <c r="E45" s="1" t="n">
        <v>46218</v>
      </c>
      <c r="F45" t="inlineStr">
        <is>
          <t>SKÅNE LÄN</t>
        </is>
      </c>
      <c r="G45" t="inlineStr">
        <is>
          <t>ÖSTRA GÖINGE</t>
        </is>
      </c>
      <c r="I45" t="n">
        <v>2.7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Desmeknopp</t>
        </is>
      </c>
      <c r="V45">
        <f>HYPERLINK("https://klasma.github.io/Logging_1256/artfynd/A 62060-2022 artfynd.xlsx", "A 62060-2022")</f>
        <v/>
      </c>
      <c r="W45">
        <f>HYPERLINK("https://klasma.github.io/Logging_1256/kartor/A 62060-2022 karta.png", "A 62060-2022")</f>
        <v/>
      </c>
      <c r="Y45">
        <f>HYPERLINK("https://klasma.github.io/Logging_1256/klagomål/A 62060-2022 FSC-klagomål.docx", "A 62060-2022")</f>
        <v/>
      </c>
      <c r="Z45">
        <f>HYPERLINK("https://klasma.github.io/Logging_1256/klagomålsmail/A 62060-2022 FSC-klagomål mail.docx", "A 62060-2022")</f>
        <v/>
      </c>
      <c r="AA45">
        <f>HYPERLINK("https://klasma.github.io/Logging_1256/tillsyn/A 62060-2022 tillsynsbegäran.docx", "A 62060-2022")</f>
        <v/>
      </c>
      <c r="AB45">
        <f>HYPERLINK("https://klasma.github.io/Logging_1256/tillsynsmail/A 62060-2022 tillsynsbegäran mail.docx", "A 62060-2022")</f>
        <v/>
      </c>
    </row>
    <row r="46" ht="15" customHeight="1">
      <c r="A46" t="inlineStr">
        <is>
          <t>A 4386-2024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46218</v>
      </c>
      <c r="F46" t="inlineStr">
        <is>
          <t>SKÅNE LÄN</t>
        </is>
      </c>
      <c r="G46" t="inlineStr">
        <is>
          <t>ÖSTRA GÖINGE</t>
        </is>
      </c>
      <c r="I46" t="n">
        <v>1.8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Igelkott</t>
        </is>
      </c>
      <c r="V46">
        <f>HYPERLINK("https://klasma.github.io/Logging_1256/artfynd/A 4386-2024 artfynd.xlsx", "A 4386-2024")</f>
        <v/>
      </c>
      <c r="W46">
        <f>HYPERLINK("https://klasma.github.io/Logging_1256/kartor/A 4386-2024 karta.png", "A 4386-2024")</f>
        <v/>
      </c>
      <c r="Y46">
        <f>HYPERLINK("https://klasma.github.io/Logging_1256/klagomål/A 4386-2024 FSC-klagomål.docx", "A 4386-2024")</f>
        <v/>
      </c>
      <c r="Z46">
        <f>HYPERLINK("https://klasma.github.io/Logging_1256/klagomålsmail/A 4386-2024 FSC-klagomål mail.docx", "A 4386-2024")</f>
        <v/>
      </c>
      <c r="AA46">
        <f>HYPERLINK("https://klasma.github.io/Logging_1256/tillsyn/A 4386-2024 tillsynsbegäran.docx", "A 4386-2024")</f>
        <v/>
      </c>
      <c r="AB46">
        <f>HYPERLINK("https://klasma.github.io/Logging_1256/tillsynsmail/A 4386-2024 tillsynsbegäran mail.docx", "A 4386-2024")</f>
        <v/>
      </c>
    </row>
    <row r="47" ht="15" customHeight="1">
      <c r="A47" t="inlineStr">
        <is>
          <t>A 4251-2023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44953</v>
      </c>
      <c r="E47" s="1" t="n">
        <v>46218</v>
      </c>
      <c r="F47" t="inlineStr">
        <is>
          <t>SKÅNE LÄN</t>
        </is>
      </c>
      <c r="G47" t="inlineStr">
        <is>
          <t>ÖSTRA GÖINGE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s="2" t="inlineStr">
        <is>
          <t>Ask</t>
        </is>
      </c>
      <c r="V47">
        <f>HYPERLINK("https://klasma.github.io/Logging_1256/artfynd/A 4251-2023 artfynd.xlsx", "A 4251-2023")</f>
        <v/>
      </c>
      <c r="W47">
        <f>HYPERLINK("https://klasma.github.io/Logging_1256/kartor/A 4251-2023 karta.png", "A 4251-2023")</f>
        <v/>
      </c>
      <c r="Y47">
        <f>HYPERLINK("https://klasma.github.io/Logging_1256/klagomål/A 4251-2023 FSC-klagomål.docx", "A 4251-2023")</f>
        <v/>
      </c>
      <c r="Z47">
        <f>HYPERLINK("https://klasma.github.io/Logging_1256/klagomålsmail/A 4251-2023 FSC-klagomål mail.docx", "A 4251-2023")</f>
        <v/>
      </c>
      <c r="AA47">
        <f>HYPERLINK("https://klasma.github.io/Logging_1256/tillsyn/A 4251-2023 tillsynsbegäran.docx", "A 4251-2023")</f>
        <v/>
      </c>
      <c r="AB47">
        <f>HYPERLINK("https://klasma.github.io/Logging_1256/tillsynsmail/A 4251-2023 tillsynsbegäran mail.docx", "A 4251-2023")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46218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Blåmossa</t>
        </is>
      </c>
      <c r="V48">
        <f>HYPERLINK("https://klasma.github.io/Logging_1256/artfynd/A 45359-2023 artfynd.xlsx", "A 45359-2023")</f>
        <v/>
      </c>
      <c r="W48">
        <f>HYPERLINK("https://klasma.github.io/Logging_1256/kartor/A 45359-2023 karta.png", "A 45359-2023")</f>
        <v/>
      </c>
      <c r="Y48">
        <f>HYPERLINK("https://klasma.github.io/Logging_1256/klagomål/A 45359-2023 FSC-klagomål.docx", "A 45359-2023")</f>
        <v/>
      </c>
      <c r="Z48">
        <f>HYPERLINK("https://klasma.github.io/Logging_1256/klagomålsmail/A 45359-2023 FSC-klagomål mail.docx", "A 45359-2023")</f>
        <v/>
      </c>
      <c r="AA48">
        <f>HYPERLINK("https://klasma.github.io/Logging_1256/tillsyn/A 45359-2023 tillsynsbegäran.docx", "A 45359-2023")</f>
        <v/>
      </c>
      <c r="AB48">
        <f>HYPERLINK("https://klasma.github.io/Logging_1256/tillsynsmail/A 45359-2023 tillsynsbegäran mail.docx", "A 45359-2023")</f>
        <v/>
      </c>
    </row>
    <row r="49" ht="15" customHeight="1">
      <c r="A49" t="inlineStr">
        <is>
          <t>A 35526-2025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45856</v>
      </c>
      <c r="E49" s="1" t="n">
        <v>46218</v>
      </c>
      <c r="F49" t="inlineStr">
        <is>
          <t>SKÅNE LÄN</t>
        </is>
      </c>
      <c r="G49" t="inlineStr">
        <is>
          <t>ÖSTRA GÖINGE</t>
        </is>
      </c>
      <c r="I49" t="n">
        <v>4.2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Bokvårtlav</t>
        </is>
      </c>
      <c r="V49">
        <f>HYPERLINK("https://klasma.github.io/Logging_1256/artfynd/A 35526-2025 artfynd.xlsx", "A 35526-2025")</f>
        <v/>
      </c>
      <c r="W49">
        <f>HYPERLINK("https://klasma.github.io/Logging_1256/kartor/A 35526-2025 karta.png", "A 35526-2025")</f>
        <v/>
      </c>
      <c r="Y49">
        <f>HYPERLINK("https://klasma.github.io/Logging_1256/klagomål/A 35526-2025 FSC-klagomål.docx", "A 35526-2025")</f>
        <v/>
      </c>
      <c r="Z49">
        <f>HYPERLINK("https://klasma.github.io/Logging_1256/klagomålsmail/A 35526-2025 FSC-klagomål mail.docx", "A 35526-2025")</f>
        <v/>
      </c>
      <c r="AA49">
        <f>HYPERLINK("https://klasma.github.io/Logging_1256/tillsyn/A 35526-2025 tillsynsbegäran.docx", "A 35526-2025")</f>
        <v/>
      </c>
      <c r="AB49">
        <f>HYPERLINK("https://klasma.github.io/Logging_1256/tillsynsmail/A 35526-2025 tillsynsbegäran mail.docx", "A 35526-2025")</f>
        <v/>
      </c>
    </row>
    <row r="50" ht="15" customHeight="1">
      <c r="A50" t="inlineStr">
        <is>
          <t>A 16668-2023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45030</v>
      </c>
      <c r="E50" s="1" t="n">
        <v>46218</v>
      </c>
      <c r="F50" t="inlineStr">
        <is>
          <t>SKÅNE LÄN</t>
        </is>
      </c>
      <c r="G50" t="inlineStr">
        <is>
          <t>ÖSTRA GÖINGE</t>
        </is>
      </c>
      <c r="I50" t="n">
        <v>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Mindre hackspett</t>
        </is>
      </c>
      <c r="V50">
        <f>HYPERLINK("https://klasma.github.io/Logging_1256/artfynd/A 16668-2023 artfynd.xlsx", "A 16668-2023")</f>
        <v/>
      </c>
      <c r="W50">
        <f>HYPERLINK("https://klasma.github.io/Logging_1256/kartor/A 16668-2023 karta.png", "A 16668-2023")</f>
        <v/>
      </c>
      <c r="Y50">
        <f>HYPERLINK("https://klasma.github.io/Logging_1256/klagomål/A 16668-2023 FSC-klagomål.docx", "A 16668-2023")</f>
        <v/>
      </c>
      <c r="Z50">
        <f>HYPERLINK("https://klasma.github.io/Logging_1256/klagomålsmail/A 16668-2023 FSC-klagomål mail.docx", "A 16668-2023")</f>
        <v/>
      </c>
      <c r="AA50">
        <f>HYPERLINK("https://klasma.github.io/Logging_1256/tillsyn/A 16668-2023 tillsynsbegäran.docx", "A 16668-2023")</f>
        <v/>
      </c>
      <c r="AB50">
        <f>HYPERLINK("https://klasma.github.io/Logging_1256/tillsynsmail/A 16668-2023 tillsynsbegäran mail.docx", "A 16668-2023")</f>
        <v/>
      </c>
      <c r="AC50">
        <f>HYPERLINK("https://klasma.github.io/Logging_1256/fåglar/A 16668-2023 prioriterade fågelarter.docx", "A 16668-2023")</f>
        <v/>
      </c>
    </row>
    <row r="51" ht="15" customHeight="1">
      <c r="A51" t="inlineStr">
        <is>
          <t>A 59369-2024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46218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Slåttergubbe</t>
        </is>
      </c>
      <c r="V51">
        <f>HYPERLINK("https://klasma.github.io/Logging_1256/artfynd/A 59369-2024 artfynd.xlsx", "A 59369-2024")</f>
        <v/>
      </c>
      <c r="W51">
        <f>HYPERLINK("https://klasma.github.io/Logging_1256/kartor/A 59369-2024 karta.png", "A 59369-2024")</f>
        <v/>
      </c>
      <c r="Y51">
        <f>HYPERLINK("https://klasma.github.io/Logging_1256/klagomål/A 59369-2024 FSC-klagomål.docx", "A 59369-2024")</f>
        <v/>
      </c>
      <c r="Z51">
        <f>HYPERLINK("https://klasma.github.io/Logging_1256/klagomålsmail/A 59369-2024 FSC-klagomål mail.docx", "A 59369-2024")</f>
        <v/>
      </c>
      <c r="AA51">
        <f>HYPERLINK("https://klasma.github.io/Logging_1256/tillsyn/A 59369-2024 tillsynsbegäran.docx", "A 59369-2024")</f>
        <v/>
      </c>
      <c r="AB51">
        <f>HYPERLINK("https://klasma.github.io/Logging_1256/tillsynsmail/A 59369-2024 tillsynsbegäran mail.docx", "A 59369-2024")</f>
        <v/>
      </c>
    </row>
    <row r="52" ht="15" customHeight="1">
      <c r="A52" t="inlineStr">
        <is>
          <t>A 26509-2025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45807</v>
      </c>
      <c r="E52" s="1" t="n">
        <v>46218</v>
      </c>
      <c r="F52" t="inlineStr">
        <is>
          <t>SKÅNE LÄN</t>
        </is>
      </c>
      <c r="G52" t="inlineStr">
        <is>
          <t>ÖSTRA GÖINGE</t>
        </is>
      </c>
      <c r="I52" t="n">
        <v>0.4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Tibast</t>
        </is>
      </c>
      <c r="V52">
        <f>HYPERLINK("https://klasma.github.io/Logging_1256/artfynd/A 26509-2025 artfynd.xlsx", "A 26509-2025")</f>
        <v/>
      </c>
      <c r="W52">
        <f>HYPERLINK("https://klasma.github.io/Logging_1256/kartor/A 26509-2025 karta.png", "A 26509-2025")</f>
        <v/>
      </c>
      <c r="Y52">
        <f>HYPERLINK("https://klasma.github.io/Logging_1256/klagomål/A 26509-2025 FSC-klagomål.docx", "A 26509-2025")</f>
        <v/>
      </c>
      <c r="Z52">
        <f>HYPERLINK("https://klasma.github.io/Logging_1256/klagomålsmail/A 26509-2025 FSC-klagomål mail.docx", "A 26509-2025")</f>
        <v/>
      </c>
      <c r="AA52">
        <f>HYPERLINK("https://klasma.github.io/Logging_1256/tillsyn/A 26509-2025 tillsynsbegäran.docx", "A 26509-2025")</f>
        <v/>
      </c>
      <c r="AB52">
        <f>HYPERLINK("https://klasma.github.io/Logging_1256/tillsynsmail/A 26509-2025 tillsynsbegäran mail.docx", "A 26509-2025")</f>
        <v/>
      </c>
    </row>
    <row r="53" ht="15" customHeight="1">
      <c r="A53" t="inlineStr">
        <is>
          <t>A 9769-2024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45362</v>
      </c>
      <c r="E53" s="1" t="n">
        <v>46218</v>
      </c>
      <c r="F53" t="inlineStr">
        <is>
          <t>SKÅNE LÄN</t>
        </is>
      </c>
      <c r="G53" t="inlineStr">
        <is>
          <t>ÖSTRA GÖINGE</t>
        </is>
      </c>
      <c r="I53" t="n">
        <v>2.3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Gullpudra</t>
        </is>
      </c>
      <c r="V53">
        <f>HYPERLINK("https://klasma.github.io/Logging_1256/artfynd/A 9769-2024 artfynd.xlsx", "A 9769-2024")</f>
        <v/>
      </c>
      <c r="W53">
        <f>HYPERLINK("https://klasma.github.io/Logging_1256/kartor/A 9769-2024 karta.png", "A 9769-2024")</f>
        <v/>
      </c>
      <c r="Y53">
        <f>HYPERLINK("https://klasma.github.io/Logging_1256/klagomål/A 9769-2024 FSC-klagomål.docx", "A 9769-2024")</f>
        <v/>
      </c>
      <c r="Z53">
        <f>HYPERLINK("https://klasma.github.io/Logging_1256/klagomålsmail/A 9769-2024 FSC-klagomål mail.docx", "A 9769-2024")</f>
        <v/>
      </c>
      <c r="AA53">
        <f>HYPERLINK("https://klasma.github.io/Logging_1256/tillsyn/A 9769-2024 tillsynsbegäran.docx", "A 9769-2024")</f>
        <v/>
      </c>
      <c r="AB53">
        <f>HYPERLINK("https://klasma.github.io/Logging_1256/tillsynsmail/A 9769-2024 tillsynsbegäran mail.docx", "A 9769-2024")</f>
        <v/>
      </c>
    </row>
    <row r="54" ht="15" customHeight="1">
      <c r="A54" t="inlineStr">
        <is>
          <t>A 40135-2022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46218</v>
      </c>
      <c r="F54" t="inlineStr">
        <is>
          <t>SKÅNE LÄN</t>
        </is>
      </c>
      <c r="G54" t="inlineStr">
        <is>
          <t>ÖSTRA GÖINGE</t>
        </is>
      </c>
      <c r="I54" t="n">
        <v>3.7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Fällmossa</t>
        </is>
      </c>
      <c r="V54">
        <f>HYPERLINK("https://klasma.github.io/Logging_1256/artfynd/A 40135-2022 artfynd.xlsx", "A 40135-2022")</f>
        <v/>
      </c>
      <c r="W54">
        <f>HYPERLINK("https://klasma.github.io/Logging_1256/kartor/A 40135-2022 karta.png", "A 40135-2022")</f>
        <v/>
      </c>
      <c r="Y54">
        <f>HYPERLINK("https://klasma.github.io/Logging_1256/klagomål/A 40135-2022 FSC-klagomål.docx", "A 40135-2022")</f>
        <v/>
      </c>
      <c r="Z54">
        <f>HYPERLINK("https://klasma.github.io/Logging_1256/klagomålsmail/A 40135-2022 FSC-klagomål mail.docx", "A 40135-2022")</f>
        <v/>
      </c>
      <c r="AA54">
        <f>HYPERLINK("https://klasma.github.io/Logging_1256/tillsyn/A 40135-2022 tillsynsbegäran.docx", "A 40135-2022")</f>
        <v/>
      </c>
      <c r="AB54">
        <f>HYPERLINK("https://klasma.github.io/Logging_1256/tillsynsmail/A 40135-2022 tillsynsbegäran mail.docx", "A 40135-2022")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46218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Huggorm</t>
        </is>
      </c>
      <c r="V55">
        <f>HYPERLINK("https://klasma.github.io/Logging_1256/artfynd/A 34344-2025 artfynd.xlsx", "A 34344-2025")</f>
        <v/>
      </c>
      <c r="W55">
        <f>HYPERLINK("https://klasma.github.io/Logging_1256/kartor/A 34344-2025 karta.png", "A 34344-2025")</f>
        <v/>
      </c>
      <c r="Y55">
        <f>HYPERLINK("https://klasma.github.io/Logging_1256/klagomål/A 34344-2025 FSC-klagomål.docx", "A 34344-2025")</f>
        <v/>
      </c>
      <c r="Z55">
        <f>HYPERLINK("https://klasma.github.io/Logging_1256/klagomålsmail/A 34344-2025 FSC-klagomål mail.docx", "A 34344-2025")</f>
        <v/>
      </c>
      <c r="AA55">
        <f>HYPERLINK("https://klasma.github.io/Logging_1256/tillsyn/A 34344-2025 tillsynsbegäran.docx", "A 34344-2025")</f>
        <v/>
      </c>
      <c r="AB55">
        <f>HYPERLINK("https://klasma.github.io/Logging_1256/tillsynsmail/A 34344-2025 tillsynsbegäran mail.docx", "A 34344-2025")</f>
        <v/>
      </c>
    </row>
    <row r="56" ht="15" customHeight="1">
      <c r="A56" t="inlineStr">
        <is>
          <t>A 6152-2024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45337</v>
      </c>
      <c r="E56" s="1" t="n">
        <v>46218</v>
      </c>
      <c r="F56" t="inlineStr">
        <is>
          <t>SKÅNE LÄN</t>
        </is>
      </c>
      <c r="G56" t="inlineStr">
        <is>
          <t>ÖSTRA GÖINGE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Kungsfågel</t>
        </is>
      </c>
      <c r="V56">
        <f>HYPERLINK("https://klasma.github.io/Logging_1256/artfynd/A 6152-2024 artfynd.xlsx", "A 6152-2024")</f>
        <v/>
      </c>
      <c r="W56">
        <f>HYPERLINK("https://klasma.github.io/Logging_1256/kartor/A 6152-2024 karta.png", "A 6152-2024")</f>
        <v/>
      </c>
      <c r="Y56">
        <f>HYPERLINK("https://klasma.github.io/Logging_1256/klagomål/A 6152-2024 FSC-klagomål.docx", "A 6152-2024")</f>
        <v/>
      </c>
      <c r="Z56">
        <f>HYPERLINK("https://klasma.github.io/Logging_1256/klagomålsmail/A 6152-2024 FSC-klagomål mail.docx", "A 6152-2024")</f>
        <v/>
      </c>
      <c r="AA56">
        <f>HYPERLINK("https://klasma.github.io/Logging_1256/tillsyn/A 6152-2024 tillsynsbegäran.docx", "A 6152-2024")</f>
        <v/>
      </c>
      <c r="AB56">
        <f>HYPERLINK("https://klasma.github.io/Logging_1256/tillsynsmail/A 6152-2024 tillsynsbegäran mail.docx", "A 6152-2024")</f>
        <v/>
      </c>
    </row>
    <row r="57" ht="15" customHeight="1">
      <c r="A57" t="inlineStr">
        <is>
          <t>A 23400-2023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45076</v>
      </c>
      <c r="E57" s="1" t="n">
        <v>46218</v>
      </c>
      <c r="F57" t="inlineStr">
        <is>
          <t>SKÅNE LÄN</t>
        </is>
      </c>
      <c r="G57" t="inlineStr">
        <is>
          <t>ÖSTRA GÖINGE</t>
        </is>
      </c>
      <c r="I57" t="n">
        <v>5.1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Brandticka</t>
        </is>
      </c>
      <c r="V57">
        <f>HYPERLINK("https://klasma.github.io/Logging_1256/artfynd/A 23400-2023 artfynd.xlsx", "A 23400-2023")</f>
        <v/>
      </c>
      <c r="W57">
        <f>HYPERLINK("https://klasma.github.io/Logging_1256/kartor/A 23400-2023 karta.png", "A 23400-2023")</f>
        <v/>
      </c>
      <c r="Y57">
        <f>HYPERLINK("https://klasma.github.io/Logging_1256/klagomål/A 23400-2023 FSC-klagomål.docx", "A 23400-2023")</f>
        <v/>
      </c>
      <c r="Z57">
        <f>HYPERLINK("https://klasma.github.io/Logging_1256/klagomålsmail/A 23400-2023 FSC-klagomål mail.docx", "A 23400-2023")</f>
        <v/>
      </c>
      <c r="AA57">
        <f>HYPERLINK("https://klasma.github.io/Logging_1256/tillsyn/A 23400-2023 tillsynsbegäran.docx", "A 23400-2023")</f>
        <v/>
      </c>
      <c r="AB57">
        <f>HYPERLINK("https://klasma.github.io/Logging_1256/tillsynsmail/A 23400-2023 tillsynsbegäran mail.docx", "A 23400-2023")</f>
        <v/>
      </c>
    </row>
    <row r="58" ht="15" customHeight="1">
      <c r="A58" t="inlineStr">
        <is>
          <t>A 29273-2023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46218</v>
      </c>
      <c r="F58" t="inlineStr">
        <is>
          <t>SKÅNE LÄN</t>
        </is>
      </c>
      <c r="G58" t="inlineStr">
        <is>
          <t>ÖSTRA GÖINGE</t>
        </is>
      </c>
      <c r="I58" t="n">
        <v>4.1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Nötkråka</t>
        </is>
      </c>
      <c r="V58">
        <f>HYPERLINK("https://klasma.github.io/Logging_1256/artfynd/A 29273-2023 artfynd.xlsx", "A 29273-2023")</f>
        <v/>
      </c>
      <c r="W58">
        <f>HYPERLINK("https://klasma.github.io/Logging_1256/kartor/A 29273-2023 karta.png", "A 29273-2023")</f>
        <v/>
      </c>
      <c r="Y58">
        <f>HYPERLINK("https://klasma.github.io/Logging_1256/klagomål/A 29273-2023 FSC-klagomål.docx", "A 29273-2023")</f>
        <v/>
      </c>
      <c r="Z58">
        <f>HYPERLINK("https://klasma.github.io/Logging_1256/klagomålsmail/A 29273-2023 FSC-klagomål mail.docx", "A 29273-2023")</f>
        <v/>
      </c>
      <c r="AA58">
        <f>HYPERLINK("https://klasma.github.io/Logging_1256/tillsyn/A 29273-2023 tillsynsbegäran.docx", "A 29273-2023")</f>
        <v/>
      </c>
      <c r="AB58">
        <f>HYPERLINK("https://klasma.github.io/Logging_1256/tillsynsmail/A 29273-2023 tillsynsbegäran mail.docx", "A 29273-2023")</f>
        <v/>
      </c>
      <c r="AC58">
        <f>HYPERLINK("https://klasma.github.io/Logging_1256/fåglar/A 29273-2023 prioriterade fågelarter.docx", "A 29273-2023")</f>
        <v/>
      </c>
    </row>
    <row r="59" ht="15" customHeight="1">
      <c r="A59" t="inlineStr">
        <is>
          <t>A 4383-2024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45327</v>
      </c>
      <c r="E59" s="1" t="n">
        <v>46218</v>
      </c>
      <c r="F59" t="inlineStr">
        <is>
          <t>SKÅNE LÄN</t>
        </is>
      </c>
      <c r="G59" t="inlineStr">
        <is>
          <t>ÖSTRA GÖINGE</t>
        </is>
      </c>
      <c r="I59" t="n">
        <v>2.2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HYPERLINK("https://klasma.github.io/Logging_1256/artfynd/A 4383-2024 artfynd.xlsx", "A 4383-2024")</f>
        <v/>
      </c>
      <c r="W59">
        <f>HYPERLINK("https://klasma.github.io/Logging_1256/kartor/A 4383-2024 karta.png", "A 4383-2024")</f>
        <v/>
      </c>
      <c r="Y59">
        <f>HYPERLINK("https://klasma.github.io/Logging_1256/klagomål/A 4383-2024 FSC-klagomål.docx", "A 4383-2024")</f>
        <v/>
      </c>
      <c r="Z59">
        <f>HYPERLINK("https://klasma.github.io/Logging_1256/klagomålsmail/A 4383-2024 FSC-klagomål mail.docx", "A 4383-2024")</f>
        <v/>
      </c>
      <c r="AA59">
        <f>HYPERLINK("https://klasma.github.io/Logging_1256/tillsyn/A 4383-2024 tillsynsbegäran.docx", "A 4383-2024")</f>
        <v/>
      </c>
      <c r="AB59">
        <f>HYPERLINK("https://klasma.github.io/Logging_1256/tillsynsmail/A 4383-2024 tillsynsbegäran mail.docx", "A 4383-2024")</f>
        <v/>
      </c>
    </row>
    <row r="60" ht="15" customHeight="1">
      <c r="A60" t="inlineStr">
        <is>
          <t>S 641-2023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44973</v>
      </c>
      <c r="E60" s="1" t="n">
        <v>46218</v>
      </c>
      <c r="F60" t="inlineStr">
        <is>
          <t>SKÅNE LÄN</t>
        </is>
      </c>
      <c r="G60" t="inlineStr">
        <is>
          <t>ÖSTRA GÖINGE</t>
        </is>
      </c>
      <c r="I60" t="n">
        <v>33.7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Igelkott</t>
        </is>
      </c>
      <c r="V60">
        <f>HYPERLINK("https://klasma.github.io/Logging_1256/artfynd/S 641-2023 artfynd.xlsx", "S 641-2023")</f>
        <v/>
      </c>
      <c r="W60">
        <f>HYPERLINK("https://klasma.github.io/Logging_1256/kartor/S 641-2023 karta.png", "S 641-2023")</f>
        <v/>
      </c>
      <c r="Y60">
        <f>HYPERLINK("https://klasma.github.io/Logging_1256/klagomål/S 641-2023 FSC-klagomål.docx", "S 641-2023")</f>
        <v/>
      </c>
      <c r="Z60">
        <f>HYPERLINK("https://klasma.github.io/Logging_1256/klagomålsmail/S 641-2023 FSC-klagomål mail.docx", "S 641-2023")</f>
        <v/>
      </c>
      <c r="AA60">
        <f>HYPERLINK("https://klasma.github.io/Logging_1256/tillsyn/S 641-2023 tillsynsbegäran.docx", "S 641-2023")</f>
        <v/>
      </c>
      <c r="AB60">
        <f>HYPERLINK("https://klasma.github.io/Logging_1256/tillsynsmail/S 641-2023 tillsynsbegäran mail.docx", "S 641-2023")</f>
        <v/>
      </c>
    </row>
    <row r="61" ht="15" customHeight="1">
      <c r="A61" t="inlineStr">
        <is>
          <t>S 1084-2024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45390</v>
      </c>
      <c r="E61" s="1" t="n">
        <v>46218</v>
      </c>
      <c r="F61" t="inlineStr">
        <is>
          <t>SKÅNE LÄN</t>
        </is>
      </c>
      <c r="G61" t="inlineStr">
        <is>
          <t>ÖSTRA GÖINGE</t>
        </is>
      </c>
      <c r="I61" t="n">
        <v>140.4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Nötkråka</t>
        </is>
      </c>
      <c r="V61">
        <f>HYPERLINK("https://klasma.github.io/Logging_1256/artfynd/S 1084-2024 artfynd.xlsx", "S 1084-2024")</f>
        <v/>
      </c>
      <c r="W61">
        <f>HYPERLINK("https://klasma.github.io/Logging_1256/kartor/S 1084-2024 karta.png", "S 1084-2024")</f>
        <v/>
      </c>
      <c r="Y61">
        <f>HYPERLINK("https://klasma.github.io/Logging_1256/klagomål/S 1084-2024 FSC-klagomål.docx", "S 1084-2024")</f>
        <v/>
      </c>
      <c r="Z61">
        <f>HYPERLINK("https://klasma.github.io/Logging_1256/klagomålsmail/S 1084-2024 FSC-klagomål mail.docx", "S 1084-2024")</f>
        <v/>
      </c>
      <c r="AA61">
        <f>HYPERLINK("https://klasma.github.io/Logging_1256/tillsyn/S 1084-2024 tillsynsbegäran.docx", "S 1084-2024")</f>
        <v/>
      </c>
      <c r="AB61">
        <f>HYPERLINK("https://klasma.github.io/Logging_1256/tillsynsmail/S 1084-2024 tillsynsbegäran mail.docx", "S 1084-2024")</f>
        <v/>
      </c>
      <c r="AC61">
        <f>HYPERLINK("https://klasma.github.io/Logging_1256/fåglar/S 1084-2024 prioriterade fågelarter.docx", "S 1084-2024")</f>
        <v/>
      </c>
    </row>
    <row r="62" ht="15" customHeight="1">
      <c r="A62" t="inlineStr">
        <is>
          <t>S 446-2022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44586</v>
      </c>
      <c r="E62" s="1" t="n">
        <v>46218</v>
      </c>
      <c r="F62" t="inlineStr">
        <is>
          <t>SKÅNE LÄN</t>
        </is>
      </c>
      <c r="G62" t="inlineStr">
        <is>
          <t>ÖSTRA GÖINGE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s="2" t="inlineStr">
        <is>
          <t>Ask</t>
        </is>
      </c>
      <c r="V62">
        <f>HYPERLINK("https://klasma.github.io/Logging_1256/artfynd/S 446-2022 artfynd.xlsx", "S 446-2022")</f>
        <v/>
      </c>
      <c r="W62">
        <f>HYPERLINK("https://klasma.github.io/Logging_1256/kartor/S 446-2022 karta.png", "S 446-2022")</f>
        <v/>
      </c>
      <c r="Y62">
        <f>HYPERLINK("https://klasma.github.io/Logging_1256/klagomål/S 446-2022 FSC-klagomål.docx", "S 446-2022")</f>
        <v/>
      </c>
      <c r="Z62">
        <f>HYPERLINK("https://klasma.github.io/Logging_1256/klagomålsmail/S 446-2022 FSC-klagomål mail.docx", "S 446-2022")</f>
        <v/>
      </c>
      <c r="AA62">
        <f>HYPERLINK("https://klasma.github.io/Logging_1256/tillsyn/S 446-2022 tillsynsbegäran.docx", "S 446-2022")</f>
        <v/>
      </c>
      <c r="AB62">
        <f>HYPERLINK("https://klasma.github.io/Logging_1256/tillsynsmail/S 446-2022 tillsynsbegäran mail.docx", "S 446-2022")</f>
        <v/>
      </c>
    </row>
    <row r="63" ht="15" customHeight="1">
      <c r="A63" t="inlineStr">
        <is>
          <t>S 564-2024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45350</v>
      </c>
      <c r="E63" s="1" t="n">
        <v>46218</v>
      </c>
      <c r="F63" t="inlineStr">
        <is>
          <t>SKÅNE LÄN</t>
        </is>
      </c>
      <c r="G63" t="inlineStr">
        <is>
          <t>ÖSTRA GÖINGE</t>
        </is>
      </c>
      <c r="I63" t="n">
        <v>30.3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Kransrams</t>
        </is>
      </c>
      <c r="V63">
        <f>HYPERLINK("https://klasma.github.io/Logging_1256/artfynd/S 564-2024 artfynd.xlsx", "S 564-2024")</f>
        <v/>
      </c>
      <c r="W63">
        <f>HYPERLINK("https://klasma.github.io/Logging_1256/kartor/S 564-2024 karta.png", "S 564-2024")</f>
        <v/>
      </c>
      <c r="Y63">
        <f>HYPERLINK("https://klasma.github.io/Logging_1256/klagomål/S 564-2024 FSC-klagomål.docx", "S 564-2024")</f>
        <v/>
      </c>
      <c r="Z63">
        <f>HYPERLINK("https://klasma.github.io/Logging_1256/klagomålsmail/S 564-2024 FSC-klagomål mail.docx", "S 564-2024")</f>
        <v/>
      </c>
      <c r="AA63">
        <f>HYPERLINK("https://klasma.github.io/Logging_1256/tillsyn/S 564-2024 tillsynsbegäran.docx", "S 564-2024")</f>
        <v/>
      </c>
      <c r="AB63">
        <f>HYPERLINK("https://klasma.github.io/Logging_1256/tillsynsmail/S 564-2024 tillsynsbegäran mail.docx", "S 564-2024")</f>
        <v/>
      </c>
    </row>
    <row r="64" ht="15" customHeight="1">
      <c r="A64" t="inlineStr">
        <is>
          <t>S 3610-2024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45547</v>
      </c>
      <c r="E64" s="1" t="n">
        <v>46218</v>
      </c>
      <c r="F64" t="inlineStr">
        <is>
          <t>SKÅNE LÄN</t>
        </is>
      </c>
      <c r="G64" t="inlineStr">
        <is>
          <t>ÖSTRA GÖINGE</t>
        </is>
      </c>
      <c r="I64" t="n">
        <v>47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5</v>
      </c>
      <c r="U64" s="2" t="inlineStr">
        <is>
          <t>Ask</t>
        </is>
      </c>
      <c r="V64">
        <f>HYPERLINK("https://klasma.github.io/Logging_1256/artfynd/S 3610-2024 artfynd.xlsx", "S 3610-2024")</f>
        <v/>
      </c>
      <c r="W64">
        <f>HYPERLINK("https://klasma.github.io/Logging_1256/kartor/S 3610-2024 karta.png", "S 3610-2024")</f>
        <v/>
      </c>
      <c r="Y64">
        <f>HYPERLINK("https://klasma.github.io/Logging_1256/klagomål/S 3610-2024 FSC-klagomål.docx", "S 3610-2024")</f>
        <v/>
      </c>
      <c r="Z64">
        <f>HYPERLINK("https://klasma.github.io/Logging_1256/klagomålsmail/S 3610-2024 FSC-klagomål mail.docx", "S 3610-2024")</f>
        <v/>
      </c>
      <c r="AA64">
        <f>HYPERLINK("https://klasma.github.io/Logging_1256/tillsyn/S 3610-2024 tillsynsbegäran.docx", "S 3610-2024")</f>
        <v/>
      </c>
      <c r="AB64">
        <f>HYPERLINK("https://klasma.github.io/Logging_1256/tillsynsmail/S 3610-2024 tillsynsbegäran mail.docx", "S 3610-2024")</f>
        <v/>
      </c>
    </row>
    <row r="65" ht="15" customHeight="1">
      <c r="A65" t="inlineStr">
        <is>
          <t>S 643-2023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44973</v>
      </c>
      <c r="E65" s="1" t="n">
        <v>46218</v>
      </c>
      <c r="F65" t="inlineStr">
        <is>
          <t>SKÅNE LÄN</t>
        </is>
      </c>
      <c r="G65" t="inlineStr">
        <is>
          <t>ÖSTRA GÖINGE</t>
        </is>
      </c>
      <c r="I65" t="n">
        <v>8.1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Gullpudra</t>
        </is>
      </c>
      <c r="V65">
        <f>HYPERLINK("https://klasma.github.io/Logging_1256/artfynd/S 643-2023 artfynd.xlsx", "S 643-2023")</f>
        <v/>
      </c>
      <c r="W65">
        <f>HYPERLINK("https://klasma.github.io/Logging_1256/kartor/S 643-2023 karta.png", "S 643-2023")</f>
        <v/>
      </c>
      <c r="Y65">
        <f>HYPERLINK("https://klasma.github.io/Logging_1256/klagomål/S 643-2023 FSC-klagomål.docx", "S 643-2023")</f>
        <v/>
      </c>
      <c r="Z65">
        <f>HYPERLINK("https://klasma.github.io/Logging_1256/klagomålsmail/S 643-2023 FSC-klagomål mail.docx", "S 643-2023")</f>
        <v/>
      </c>
      <c r="AA65">
        <f>HYPERLINK("https://klasma.github.io/Logging_1256/tillsyn/S 643-2023 tillsynsbegäran.docx", "S 643-2023")</f>
        <v/>
      </c>
      <c r="AB65">
        <f>HYPERLINK("https://klasma.github.io/Logging_1256/tillsynsmail/S 643-2023 tillsynsbegäran mail.docx", "S 643-2023")</f>
        <v/>
      </c>
    </row>
    <row r="66" ht="15" customHeight="1">
      <c r="A66" t="inlineStr">
        <is>
          <t>S 4319-2021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44393</v>
      </c>
      <c r="E66" s="1" t="n">
        <v>46218</v>
      </c>
      <c r="F66" t="inlineStr">
        <is>
          <t>SKÅNE LÄN</t>
        </is>
      </c>
      <c r="G66" t="inlineStr">
        <is>
          <t>ÖSTRA GÖINGE</t>
        </is>
      </c>
      <c r="I66" t="n">
        <v>43.4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Grynig filtlav</t>
        </is>
      </c>
      <c r="V66">
        <f>HYPERLINK("https://klasma.github.io/Logging_1256/artfynd/S 4319-2021 artfynd.xlsx", "S 4319-2021")</f>
        <v/>
      </c>
      <c r="W66">
        <f>HYPERLINK("https://klasma.github.io/Logging_1256/kartor/S 4319-2021 karta.png", "S 4319-2021")</f>
        <v/>
      </c>
      <c r="Y66">
        <f>HYPERLINK("https://klasma.github.io/Logging_1256/klagomål/S 4319-2021 FSC-klagomål.docx", "S 4319-2021")</f>
        <v/>
      </c>
      <c r="Z66">
        <f>HYPERLINK("https://klasma.github.io/Logging_1256/klagomålsmail/S 4319-2021 FSC-klagomål mail.docx", "S 4319-2021")</f>
        <v/>
      </c>
      <c r="AA66">
        <f>HYPERLINK("https://klasma.github.io/Logging_1256/tillsyn/S 4319-2021 tillsynsbegäran.docx", "S 4319-2021")</f>
        <v/>
      </c>
      <c r="AB66">
        <f>HYPERLINK("https://klasma.github.io/Logging_1256/tillsynsmail/S 4319-2021 tillsynsbegäran mail.docx", "S 4319-2021")</f>
        <v/>
      </c>
    </row>
    <row r="67" ht="15" customHeight="1">
      <c r="A67" t="inlineStr">
        <is>
          <t>S 1304-2025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45770</v>
      </c>
      <c r="E67" s="1" t="n">
        <v>46218</v>
      </c>
      <c r="F67" t="inlineStr">
        <is>
          <t>SKÅNE LÄN</t>
        </is>
      </c>
      <c r="G67" t="inlineStr">
        <is>
          <t>ÖSTRA GÖINGE</t>
        </is>
      </c>
      <c r="I67" t="n">
        <v>17.3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Borsttåg</t>
        </is>
      </c>
      <c r="V67">
        <f>HYPERLINK("https://klasma.github.io/Logging_1256/artfynd/S 1304-2025 artfynd.xlsx", "S 1304-2025")</f>
        <v/>
      </c>
      <c r="W67">
        <f>HYPERLINK("https://klasma.github.io/Logging_1256/kartor/S 1304-2025 karta.png", "S 1304-2025")</f>
        <v/>
      </c>
      <c r="Y67">
        <f>HYPERLINK("https://klasma.github.io/Logging_1256/klagomål/S 1304-2025 FSC-klagomål.docx", "S 1304-2025")</f>
        <v/>
      </c>
      <c r="Z67">
        <f>HYPERLINK("https://klasma.github.io/Logging_1256/klagomålsmail/S 1304-2025 FSC-klagomål mail.docx", "S 1304-2025")</f>
        <v/>
      </c>
      <c r="AA67">
        <f>HYPERLINK("https://klasma.github.io/Logging_1256/tillsyn/S 1304-2025 tillsynsbegäran.docx", "S 1304-2025")</f>
        <v/>
      </c>
      <c r="AB67">
        <f>HYPERLINK("https://klasma.github.io/Logging_1256/tillsynsmail/S 1304-2025 tillsynsbegäran mail.docx", "S 1304-2025")</f>
        <v/>
      </c>
    </row>
    <row r="68" ht="15" customHeight="1">
      <c r="A68" t="inlineStr">
        <is>
          <t>S 878-2025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45735</v>
      </c>
      <c r="E68" s="1" t="n">
        <v>46218</v>
      </c>
      <c r="F68" t="inlineStr">
        <is>
          <t>SKÅNE LÄN</t>
        </is>
      </c>
      <c r="G68" t="inlineStr">
        <is>
          <t>ÖSTRA GÖINGE</t>
        </is>
      </c>
      <c r="I68" t="n">
        <v>53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HYPERLINK("https://klasma.github.io/Logging_1256/artfynd/S 878-2025 artfynd.xlsx", "S 878-2025")</f>
        <v/>
      </c>
      <c r="W68">
        <f>HYPERLINK("https://klasma.github.io/Logging_1256/kartor/S 878-2025 karta.png", "S 878-2025")</f>
        <v/>
      </c>
      <c r="Y68">
        <f>HYPERLINK("https://klasma.github.io/Logging_1256/klagomål/S 878-2025 FSC-klagomål.docx", "S 878-2025")</f>
        <v/>
      </c>
      <c r="Z68">
        <f>HYPERLINK("https://klasma.github.io/Logging_1256/klagomålsmail/S 878-2025 FSC-klagomål mail.docx", "S 878-2025")</f>
        <v/>
      </c>
      <c r="AA68">
        <f>HYPERLINK("https://klasma.github.io/Logging_1256/tillsyn/S 878-2025 tillsynsbegäran.docx", "S 878-2025")</f>
        <v/>
      </c>
      <c r="AB68">
        <f>HYPERLINK("https://klasma.github.io/Logging_1256/tillsynsmail/S 878-2025 tillsynsbegäran mail.docx", "S 878-2025")</f>
        <v/>
      </c>
    </row>
    <row r="69" ht="15" customHeight="1">
      <c r="A69" t="inlineStr">
        <is>
          <t>S 889-2025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45735</v>
      </c>
      <c r="E69" s="1" t="n">
        <v>46218</v>
      </c>
      <c r="F69" t="inlineStr">
        <is>
          <t>SKÅNE LÄN</t>
        </is>
      </c>
      <c r="G69" t="inlineStr">
        <is>
          <t>ÖSTRA GÖINGE</t>
        </is>
      </c>
      <c r="I69" t="n">
        <v>44.7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Revlummer</t>
        </is>
      </c>
      <c r="V69">
        <f>HYPERLINK("https://klasma.github.io/Logging_1256/artfynd/S 889-2025 artfynd.xlsx", "S 889-2025")</f>
        <v/>
      </c>
      <c r="W69">
        <f>HYPERLINK("https://klasma.github.io/Logging_1256/kartor/S 889-2025 karta.png", "S 889-2025")</f>
        <v/>
      </c>
      <c r="Y69">
        <f>HYPERLINK("https://klasma.github.io/Logging_1256/klagomål/S 889-2025 FSC-klagomål.docx", "S 889-2025")</f>
        <v/>
      </c>
      <c r="Z69">
        <f>HYPERLINK("https://klasma.github.io/Logging_1256/klagomålsmail/S 889-2025 FSC-klagomål mail.docx", "S 889-2025")</f>
        <v/>
      </c>
      <c r="AA69">
        <f>HYPERLINK("https://klasma.github.io/Logging_1256/tillsyn/S 889-2025 tillsynsbegäran.docx", "S 889-2025")</f>
        <v/>
      </c>
      <c r="AB69">
        <f>HYPERLINK("https://klasma.github.io/Logging_1256/tillsynsmail/S 889-2025 tillsynsbegäran mail.docx", "S 889-2025")</f>
        <v/>
      </c>
    </row>
    <row r="70" ht="15" customHeight="1">
      <c r="A70" t="inlineStr">
        <is>
          <t>S 882-2025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45735</v>
      </c>
      <c r="E70" s="1" t="n">
        <v>46218</v>
      </c>
      <c r="F70" t="inlineStr">
        <is>
          <t>SKÅNE LÄN</t>
        </is>
      </c>
      <c r="G70" t="inlineStr">
        <is>
          <t>ÖSTRA GÖINGE</t>
        </is>
      </c>
      <c r="I70" t="n">
        <v>9.300000000000001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Västlig hakmossa</t>
        </is>
      </c>
      <c r="V70">
        <f>HYPERLINK("https://klasma.github.io/Logging_1256/artfynd/S 882-2025 artfynd.xlsx", "S 882-2025")</f>
        <v/>
      </c>
      <c r="W70">
        <f>HYPERLINK("https://klasma.github.io/Logging_1256/kartor/S 882-2025 karta.png", "S 882-2025")</f>
        <v/>
      </c>
      <c r="Y70">
        <f>HYPERLINK("https://klasma.github.io/Logging_1256/klagomål/S 882-2025 FSC-klagomål.docx", "S 882-2025")</f>
        <v/>
      </c>
      <c r="Z70">
        <f>HYPERLINK("https://klasma.github.io/Logging_1256/klagomålsmail/S 882-2025 FSC-klagomål mail.docx", "S 882-2025")</f>
        <v/>
      </c>
      <c r="AA70">
        <f>HYPERLINK("https://klasma.github.io/Logging_1256/tillsyn/S 882-2025 tillsynsbegäran.docx", "S 882-2025")</f>
        <v/>
      </c>
      <c r="AB70">
        <f>HYPERLINK("https://klasma.github.io/Logging_1256/tillsynsmail/S 882-2025 tillsynsbegäran mail.docx", "S 882-2025")</f>
        <v/>
      </c>
    </row>
    <row r="71" ht="15" customHeight="1">
      <c r="A71" t="inlineStr">
        <is>
          <t>S 1917-2025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45826</v>
      </c>
      <c r="E71" s="1" t="n">
        <v>46218</v>
      </c>
      <c r="F71" t="inlineStr">
        <is>
          <t>SKÅNE LÄN</t>
        </is>
      </c>
      <c r="G71" t="inlineStr">
        <is>
          <t>ÖSTRA GÖINGE</t>
        </is>
      </c>
      <c r="I71" t="n">
        <v>26.8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3</v>
      </c>
      <c r="U71" s="2" t="inlineStr">
        <is>
          <t>Slåttergubbe</t>
        </is>
      </c>
      <c r="V71">
        <f>HYPERLINK("https://klasma.github.io/Logging_1256/artfynd/S 1917-2025 artfynd.xlsx", "S 1917-2025")</f>
        <v/>
      </c>
      <c r="W71">
        <f>HYPERLINK("https://klasma.github.io/Logging_1256/kartor/S 1917-2025 karta.png", "S 1917-2025")</f>
        <v/>
      </c>
      <c r="Y71">
        <f>HYPERLINK("https://klasma.github.io/Logging_1256/klagomål/S 1917-2025 FSC-klagomål.docx", "S 1917-2025")</f>
        <v/>
      </c>
      <c r="Z71">
        <f>HYPERLINK("https://klasma.github.io/Logging_1256/klagomålsmail/S 1917-2025 FSC-klagomål mail.docx", "S 1917-2025")</f>
        <v/>
      </c>
      <c r="AA71">
        <f>HYPERLINK("https://klasma.github.io/Logging_1256/tillsyn/S 1917-2025 tillsynsbegäran.docx", "S 1917-2025")</f>
        <v/>
      </c>
      <c r="AB71">
        <f>HYPERLINK("https://klasma.github.io/Logging_1256/tillsynsmail/S 1917-2025 tillsynsbegäran mail.docx", "S 1917-2025")</f>
        <v/>
      </c>
    </row>
    <row r="72" ht="15" customHeight="1">
      <c r="A72" t="inlineStr">
        <is>
          <t>A 48038-2022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46218</v>
      </c>
      <c r="F72" t="inlineStr">
        <is>
          <t>SKÅNE LÄN</t>
        </is>
      </c>
      <c r="G72" t="inlineStr">
        <is>
          <t>ÖSTRA GÖINGE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74078-2021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46218</v>
      </c>
      <c r="F73" t="inlineStr">
        <is>
          <t>SKÅNE LÄN</t>
        </is>
      </c>
      <c r="G73" t="inlineStr">
        <is>
          <t>ÖSTRA GÖINGE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74093-2021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46218</v>
      </c>
      <c r="F74" t="inlineStr">
        <is>
          <t>SKÅNE LÄN</t>
        </is>
      </c>
      <c r="G74" t="inlineStr">
        <is>
          <t>ÖSTRA GÖINGE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37164-2021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44396</v>
      </c>
      <c r="E75" s="1" t="n">
        <v>46218</v>
      </c>
      <c r="F75" t="inlineStr">
        <is>
          <t>SKÅNE LÄN</t>
        </is>
      </c>
      <c r="G75" t="inlineStr">
        <is>
          <t>ÖSTRA GÖINGE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9808-2022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44620</v>
      </c>
      <c r="E76" s="1" t="n">
        <v>46218</v>
      </c>
      <c r="F76" t="inlineStr">
        <is>
          <t>SKÅNE LÄN</t>
        </is>
      </c>
      <c r="G76" t="inlineStr">
        <is>
          <t>ÖSTRA GÖINGE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44498</v>
      </c>
      <c r="E77" s="1" t="n">
        <v>46218</v>
      </c>
      <c r="F77" t="inlineStr">
        <is>
          <t>SKÅNE LÄN</t>
        </is>
      </c>
      <c r="G77" t="inlineStr">
        <is>
          <t>ÖSTRA GÖINGE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54317-2021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44472</v>
      </c>
      <c r="E78" s="1" t="n">
        <v>46218</v>
      </c>
      <c r="F78" t="inlineStr">
        <is>
          <t>SKÅNE LÄN</t>
        </is>
      </c>
      <c r="G78" t="inlineStr">
        <is>
          <t>ÖSTRA GÖINGE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74137-2021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46218</v>
      </c>
      <c r="F79" t="inlineStr">
        <is>
          <t>SKÅNE LÄN</t>
        </is>
      </c>
      <c r="G79" t="inlineStr">
        <is>
          <t>ÖSTRA GÖINGE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46218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46218</v>
      </c>
      <c r="F81" t="inlineStr">
        <is>
          <t>SKÅNE LÄN</t>
        </is>
      </c>
      <c r="G81" t="inlineStr">
        <is>
          <t>ÖSTRA GÖINGE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8386-2022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44610</v>
      </c>
      <c r="E82" s="1" t="n">
        <v>46218</v>
      </c>
      <c r="F82" t="inlineStr">
        <is>
          <t>SKÅNE LÄN</t>
        </is>
      </c>
      <c r="G82" t="inlineStr">
        <is>
          <t>ÖSTRA GÖINGE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28143-2022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46218</v>
      </c>
      <c r="F83" t="inlineStr">
        <is>
          <t>SKÅNE LÄN</t>
        </is>
      </c>
      <c r="G83" t="inlineStr">
        <is>
          <t>ÖSTRA GÖINGE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74143-2021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46218</v>
      </c>
      <c r="F84" t="inlineStr">
        <is>
          <t>SKÅNE LÄN</t>
        </is>
      </c>
      <c r="G84" t="inlineStr">
        <is>
          <t>ÖSTRA GÖINGE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47407-2022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46218</v>
      </c>
      <c r="F85" t="inlineStr">
        <is>
          <t>SKÅNE LÄN</t>
        </is>
      </c>
      <c r="G85" t="inlineStr">
        <is>
          <t>ÖSTRA GÖINGE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66520-2021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44519</v>
      </c>
      <c r="E86" s="1" t="n">
        <v>46218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39476-2021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44414</v>
      </c>
      <c r="E87" s="1" t="n">
        <v>46218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44594</v>
      </c>
      <c r="E88" s="1" t="n">
        <v>46218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6802-2022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46218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46218</v>
      </c>
      <c r="F90" t="inlineStr">
        <is>
          <t>SKÅNE LÄN</t>
        </is>
      </c>
      <c r="G90" t="inlineStr">
        <is>
          <t>ÖSTRA GÖINGE</t>
        </is>
      </c>
      <c r="H90" t="inlineStr">
        <is>
          <t>Kyrkan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72746-2021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46218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10939-2022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46218</v>
      </c>
      <c r="F92" t="inlineStr">
        <is>
          <t>SKÅNE LÄN</t>
        </is>
      </c>
      <c r="G92" t="inlineStr">
        <is>
          <t>ÖSTRA GÖINGE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56443-2021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46218</v>
      </c>
      <c r="F93" t="inlineStr">
        <is>
          <t>SKÅNE LÄN</t>
        </is>
      </c>
      <c r="G93" t="inlineStr">
        <is>
          <t>ÖSTRA GÖINGE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74135-2021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46218</v>
      </c>
      <c r="F94" t="inlineStr">
        <is>
          <t>SKÅNE LÄN</t>
        </is>
      </c>
      <c r="G94" t="inlineStr">
        <is>
          <t>ÖSTRA GÖINGE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74141-2021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46218</v>
      </c>
      <c r="F95" t="inlineStr">
        <is>
          <t>SKÅNE LÄN</t>
        </is>
      </c>
      <c r="G95" t="inlineStr">
        <is>
          <t>ÖSTRA GÖINGE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44623</v>
      </c>
      <c r="E96" s="1" t="n">
        <v>46218</v>
      </c>
      <c r="F96" t="inlineStr">
        <is>
          <t>SKÅNE LÄN</t>
        </is>
      </c>
      <c r="G96" t="inlineStr">
        <is>
          <t>ÖSTRA GÖINGE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52304-2021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44463</v>
      </c>
      <c r="E97" s="1" t="n">
        <v>46218</v>
      </c>
      <c r="F97" t="inlineStr">
        <is>
          <t>SKÅNE LÄN</t>
        </is>
      </c>
      <c r="G97" t="inlineStr">
        <is>
          <t>ÖSTRA GÖINGE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46218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46218</v>
      </c>
      <c r="F99" t="inlineStr">
        <is>
          <t>SKÅNE LÄN</t>
        </is>
      </c>
      <c r="G99" t="inlineStr">
        <is>
          <t>ÖSTRA GÖINGE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46218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40139-2022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46218</v>
      </c>
      <c r="F101" t="inlineStr">
        <is>
          <t>SKÅNE LÄN</t>
        </is>
      </c>
      <c r="G101" t="inlineStr">
        <is>
          <t>ÖSTRA GÖINGE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44598</v>
      </c>
      <c r="E102" s="1" t="n">
        <v>46218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37816-2021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44403</v>
      </c>
      <c r="E103" s="1" t="n">
        <v>46218</v>
      </c>
      <c r="F103" t="inlineStr">
        <is>
          <t>SKÅNE LÄN</t>
        </is>
      </c>
      <c r="G103" t="inlineStr">
        <is>
          <t>ÖSTRA GÖINGE</t>
        </is>
      </c>
      <c r="I103" t="n">
        <v>9.5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46218</v>
      </c>
      <c r="F104" t="inlineStr">
        <is>
          <t>SKÅNE LÄN</t>
        </is>
      </c>
      <c r="G104" t="inlineStr">
        <is>
          <t>ÖSTRA GÖINGE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17737-2022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44680</v>
      </c>
      <c r="E105" s="1" t="n">
        <v>46218</v>
      </c>
      <c r="F105" t="inlineStr">
        <is>
          <t>SKÅNE LÄN</t>
        </is>
      </c>
      <c r="G105" t="inlineStr">
        <is>
          <t>ÖSTRA GÖINGE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55130-2022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44886</v>
      </c>
      <c r="E106" s="1" t="n">
        <v>46218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46218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44887</v>
      </c>
      <c r="E108" s="1" t="n">
        <v>46218</v>
      </c>
      <c r="F108" t="inlineStr">
        <is>
          <t>SKÅNE LÄN</t>
        </is>
      </c>
      <c r="G108" t="inlineStr">
        <is>
          <t>ÖSTRA GÖINGE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34983-2022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46218</v>
      </c>
      <c r="F109" t="inlineStr">
        <is>
          <t>SKÅNE LÄN</t>
        </is>
      </c>
      <c r="G109" t="inlineStr">
        <is>
          <t>ÖSTRA GÖINGE</t>
        </is>
      </c>
      <c r="H109" t="inlineStr">
        <is>
          <t>Kyrkan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46218</v>
      </c>
      <c r="F110" t="inlineStr">
        <is>
          <t>SKÅNE LÄN</t>
        </is>
      </c>
      <c r="G110" t="inlineStr">
        <is>
          <t>ÖSTRA GÖINGE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74094-2021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44557</v>
      </c>
      <c r="E111" s="1" t="n">
        <v>46218</v>
      </c>
      <c r="F111" t="inlineStr">
        <is>
          <t>SKÅNE LÄN</t>
        </is>
      </c>
      <c r="G111" t="inlineStr">
        <is>
          <t>ÖSTRA GÖINGE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17856-2025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46218</v>
      </c>
      <c r="F112" t="inlineStr">
        <is>
          <t>SKÅNE LÄN</t>
        </is>
      </c>
      <c r="G112" t="inlineStr">
        <is>
          <t>ÖSTRA GÖINGE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54869-2023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46218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18340-2024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45422</v>
      </c>
      <c r="E114" s="1" t="n">
        <v>46218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74144-2021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44557</v>
      </c>
      <c r="E115" s="1" t="n">
        <v>46218</v>
      </c>
      <c r="F115" t="inlineStr">
        <is>
          <t>SKÅNE LÄN</t>
        </is>
      </c>
      <c r="G115" t="inlineStr">
        <is>
          <t>ÖSTRA GÖINGE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10937-2022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46218</v>
      </c>
      <c r="F116" t="inlineStr">
        <is>
          <t>SKÅNE LÄN</t>
        </is>
      </c>
      <c r="G116" t="inlineStr">
        <is>
          <t>ÖSTRA GÖINGE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46218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11802-2025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45727</v>
      </c>
      <c r="E118" s="1" t="n">
        <v>46218</v>
      </c>
      <c r="F118" t="inlineStr">
        <is>
          <t>SKÅNE LÄN</t>
        </is>
      </c>
      <c r="G118" t="inlineStr">
        <is>
          <t>ÖSTRA GÖINGE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69375-2021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46218</v>
      </c>
      <c r="F119" t="inlineStr">
        <is>
          <t>SKÅNE LÄN</t>
        </is>
      </c>
      <c r="G119" t="inlineStr">
        <is>
          <t>ÖSTRA GÖINGE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69393-2021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46218</v>
      </c>
      <c r="F120" t="inlineStr">
        <is>
          <t>SKÅNE LÄN</t>
        </is>
      </c>
      <c r="G120" t="inlineStr">
        <is>
          <t>ÖSTRA GÖINGE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57293-2023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46218</v>
      </c>
      <c r="F121" t="inlineStr">
        <is>
          <t>SKÅNE LÄN</t>
        </is>
      </c>
      <c r="G121" t="inlineStr">
        <is>
          <t>ÖSTRA GÖINGE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71741-2021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44539</v>
      </c>
      <c r="E122" s="1" t="n">
        <v>46218</v>
      </c>
      <c r="F122" t="inlineStr">
        <is>
          <t>SKÅNE LÄN</t>
        </is>
      </c>
      <c r="G122" t="inlineStr">
        <is>
          <t>ÖSTRA GÖINGE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37554-2024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46218</v>
      </c>
      <c r="F123" t="inlineStr">
        <is>
          <t>SKÅNE LÄN</t>
        </is>
      </c>
      <c r="G123" t="inlineStr">
        <is>
          <t>ÖSTRA GÖINGE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37558-2024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46218</v>
      </c>
      <c r="F124" t="inlineStr">
        <is>
          <t>SKÅNE LÄN</t>
        </is>
      </c>
      <c r="G124" t="inlineStr">
        <is>
          <t>ÖSTRA GÖINGE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50472-2023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46218</v>
      </c>
      <c r="F125" t="inlineStr">
        <is>
          <t>SKÅNE LÄN</t>
        </is>
      </c>
      <c r="G125" t="inlineStr">
        <is>
          <t>ÖSTRA GÖINGE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60780-2022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44914</v>
      </c>
      <c r="E126" s="1" t="n">
        <v>46218</v>
      </c>
      <c r="F126" t="inlineStr">
        <is>
          <t>SKÅNE LÄN</t>
        </is>
      </c>
      <c r="G126" t="inlineStr">
        <is>
          <t>ÖSTRA GÖINGE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59359-2024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46218</v>
      </c>
      <c r="F127" t="inlineStr">
        <is>
          <t>SKÅNE LÄN</t>
        </is>
      </c>
      <c r="G127" t="inlineStr">
        <is>
          <t>ÖSTRA GÖINGE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46279-2024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45581</v>
      </c>
      <c r="E128" s="1" t="n">
        <v>46218</v>
      </c>
      <c r="F128" t="inlineStr">
        <is>
          <t>SKÅNE LÄN</t>
        </is>
      </c>
      <c r="G128" t="inlineStr">
        <is>
          <t>ÖSTRA GÖINGE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50370-2024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46218</v>
      </c>
      <c r="F129" t="inlineStr">
        <is>
          <t>SKÅNE LÄN</t>
        </is>
      </c>
      <c r="G129" t="inlineStr">
        <is>
          <t>ÖSTRA GÖINGE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34976-2023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46218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15688-2023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45021</v>
      </c>
      <c r="E131" s="1" t="n">
        <v>46218</v>
      </c>
      <c r="F131" t="inlineStr">
        <is>
          <t>SKÅNE LÄN</t>
        </is>
      </c>
      <c r="G131" t="inlineStr">
        <is>
          <t>ÖSTRA GÖINGE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41777-2023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46218</v>
      </c>
      <c r="F132" t="inlineStr">
        <is>
          <t>SKÅNE LÄN</t>
        </is>
      </c>
      <c r="G132" t="inlineStr">
        <is>
          <t>ÖSTRA GÖINGE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46218</v>
      </c>
      <c r="F133" t="inlineStr">
        <is>
          <t>SKÅNE LÄN</t>
        </is>
      </c>
      <c r="G133" t="inlineStr">
        <is>
          <t>ÖSTRA GÖINGE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24528-2023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45082</v>
      </c>
      <c r="E134" s="1" t="n">
        <v>46218</v>
      </c>
      <c r="F134" t="inlineStr">
        <is>
          <t>SKÅNE LÄN</t>
        </is>
      </c>
      <c r="G134" t="inlineStr">
        <is>
          <t>ÖSTRA GÖINGE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58518-2024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46218</v>
      </c>
      <c r="F135" t="inlineStr">
        <is>
          <t>SKÅNE LÄN</t>
        </is>
      </c>
      <c r="G135" t="inlineStr">
        <is>
          <t>ÖSTRA GÖINGE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45331</v>
      </c>
      <c r="E136" s="1" t="n">
        <v>46218</v>
      </c>
      <c r="F136" t="inlineStr">
        <is>
          <t>SKÅNE LÄN</t>
        </is>
      </c>
      <c r="G136" t="inlineStr">
        <is>
          <t>ÖSTRA GÖINGE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40621-2025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46218</v>
      </c>
      <c r="F137" t="inlineStr">
        <is>
          <t>SKÅNE LÄN</t>
        </is>
      </c>
      <c r="G137" t="inlineStr">
        <is>
          <t>ÖSTRA GÖINGE</t>
        </is>
      </c>
      <c r="H137" t="inlineStr">
        <is>
          <t>Kyrkan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40618-2025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46218</v>
      </c>
      <c r="F138" t="inlineStr">
        <is>
          <t>SKÅNE LÄN</t>
        </is>
      </c>
      <c r="G138" t="inlineStr">
        <is>
          <t>ÖSTRA GÖINGE</t>
        </is>
      </c>
      <c r="H138" t="inlineStr">
        <is>
          <t>Kyrkan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44853</v>
      </c>
      <c r="E139" s="1" t="n">
        <v>46218</v>
      </c>
      <c r="F139" t="inlineStr">
        <is>
          <t>SKÅNE LÄN</t>
        </is>
      </c>
      <c r="G139" t="inlineStr">
        <is>
          <t>ÖSTRA GÖINGE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46218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52930-2021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46218</v>
      </c>
      <c r="F141" t="inlineStr">
        <is>
          <t>SKÅNE LÄN</t>
        </is>
      </c>
      <c r="G141" t="inlineStr">
        <is>
          <t>ÖSTRA GÖINGE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55716-2024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45622</v>
      </c>
      <c r="E142" s="1" t="n">
        <v>46218</v>
      </c>
      <c r="F142" t="inlineStr">
        <is>
          <t>SKÅNE LÄN</t>
        </is>
      </c>
      <c r="G142" t="inlineStr">
        <is>
          <t>ÖSTRA GÖINGE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62546-2023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46218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24526-2023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46218</v>
      </c>
      <c r="F144" t="inlineStr">
        <is>
          <t>SKÅNE LÄN</t>
        </is>
      </c>
      <c r="G144" t="inlineStr">
        <is>
          <t>ÖSTRA GÖINGE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42313-2024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46218</v>
      </c>
      <c r="F145" t="inlineStr">
        <is>
          <t>SKÅNE LÄN</t>
        </is>
      </c>
      <c r="G145" t="inlineStr">
        <is>
          <t>ÖSTRA GÖINGE</t>
        </is>
      </c>
      <c r="H145" t="inlineStr">
        <is>
          <t>Sveaskog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46218</v>
      </c>
      <c r="F146" t="inlineStr">
        <is>
          <t>SKÅNE LÄN</t>
        </is>
      </c>
      <c r="G146" t="inlineStr">
        <is>
          <t>ÖSTRA GÖINGE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46218</v>
      </c>
      <c r="F147" t="inlineStr">
        <is>
          <t>SKÅNE LÄN</t>
        </is>
      </c>
      <c r="G147" t="inlineStr">
        <is>
          <t>ÖSTRA GÖINGE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57539-2022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46218</v>
      </c>
      <c r="F148" t="inlineStr">
        <is>
          <t>SKÅNE LÄN</t>
        </is>
      </c>
      <c r="G148" t="inlineStr">
        <is>
          <t>ÖSTRA GÖINGE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57547-2022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46218</v>
      </c>
      <c r="F149" t="inlineStr">
        <is>
          <t>SKÅNE LÄN</t>
        </is>
      </c>
      <c r="G149" t="inlineStr">
        <is>
          <t>ÖSTRA GÖINGE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45203</v>
      </c>
      <c r="E150" s="1" t="n">
        <v>46218</v>
      </c>
      <c r="F150" t="inlineStr">
        <is>
          <t>SKÅNE LÄN</t>
        </is>
      </c>
      <c r="G150" t="inlineStr">
        <is>
          <t>ÖSTRA GÖINGE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43660-2024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46218</v>
      </c>
      <c r="F151" t="inlineStr">
        <is>
          <t>SKÅNE LÄN</t>
        </is>
      </c>
      <c r="G151" t="inlineStr">
        <is>
          <t>ÖSTRA GÖINGE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44842-2024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46218</v>
      </c>
      <c r="F152" t="inlineStr">
        <is>
          <t>SKÅNE LÄN</t>
        </is>
      </c>
      <c r="G152" t="inlineStr">
        <is>
          <t>ÖSTRA GÖINGE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69384-2021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44531</v>
      </c>
      <c r="E153" s="1" t="n">
        <v>46218</v>
      </c>
      <c r="F153" t="inlineStr">
        <is>
          <t>SKÅNE LÄN</t>
        </is>
      </c>
      <c r="G153" t="inlineStr">
        <is>
          <t>ÖSTRA GÖINGE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23402-2023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45076</v>
      </c>
      <c r="E154" s="1" t="n">
        <v>46218</v>
      </c>
      <c r="F154" t="inlineStr">
        <is>
          <t>SKÅNE LÄN</t>
        </is>
      </c>
      <c r="G154" t="inlineStr">
        <is>
          <t>ÖSTRA GÖINGE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23403-2023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46218</v>
      </c>
      <c r="F155" t="inlineStr">
        <is>
          <t>SKÅNE LÄN</t>
        </is>
      </c>
      <c r="G155" t="inlineStr">
        <is>
          <t>ÖSTRA GÖINGE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45685</v>
      </c>
      <c r="E156" s="1" t="n">
        <v>46218</v>
      </c>
      <c r="F156" t="inlineStr">
        <is>
          <t>SKÅNE LÄN</t>
        </is>
      </c>
      <c r="G156" t="inlineStr">
        <is>
          <t>ÖSTRA GÖINGE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34924-2022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46218</v>
      </c>
      <c r="F157" t="inlineStr">
        <is>
          <t>SKÅNE LÄN</t>
        </is>
      </c>
      <c r="G157" t="inlineStr">
        <is>
          <t>ÖSTRA GÖINGE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16743-2024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45410</v>
      </c>
      <c r="E158" s="1" t="n">
        <v>46218</v>
      </c>
      <c r="F158" t="inlineStr">
        <is>
          <t>SKÅNE LÄN</t>
        </is>
      </c>
      <c r="G158" t="inlineStr">
        <is>
          <t>ÖSTRA GÖINGE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46218</v>
      </c>
      <c r="F159" t="inlineStr">
        <is>
          <t>SKÅNE LÄN</t>
        </is>
      </c>
      <c r="G159" t="inlineStr">
        <is>
          <t>ÖSTRA GÖINGE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31627-2023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46218</v>
      </c>
      <c r="F160" t="inlineStr">
        <is>
          <t>SKÅNE LÄN</t>
        </is>
      </c>
      <c r="G160" t="inlineStr">
        <is>
          <t>ÖSTRA GÖINGE</t>
        </is>
      </c>
      <c r="H160" t="inlineStr">
        <is>
          <t>Sveaskog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34931-2023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45142</v>
      </c>
      <c r="E161" s="1" t="n">
        <v>46218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24028-2022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44723</v>
      </c>
      <c r="E162" s="1" t="n">
        <v>46218</v>
      </c>
      <c r="F162" t="inlineStr">
        <is>
          <t>SKÅNE LÄN</t>
        </is>
      </c>
      <c r="G162" t="inlineStr">
        <is>
          <t>ÖSTRA GÖINGE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16287-2023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46218</v>
      </c>
      <c r="F163" t="inlineStr">
        <is>
          <t>SKÅNE LÄN</t>
        </is>
      </c>
      <c r="G163" t="inlineStr">
        <is>
          <t>ÖSTRA GÖINGE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43063-2025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46218</v>
      </c>
      <c r="F164" t="inlineStr">
        <is>
          <t>SKÅNE LÄN</t>
        </is>
      </c>
      <c r="G164" t="inlineStr">
        <is>
          <t>ÖSTRA GÖINGE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45572-2022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44845</v>
      </c>
      <c r="E165" s="1" t="n">
        <v>46218</v>
      </c>
      <c r="F165" t="inlineStr">
        <is>
          <t>SKÅNE LÄN</t>
        </is>
      </c>
      <c r="G165" t="inlineStr">
        <is>
          <t>ÖSTRA GÖINGE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42399-2023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46218</v>
      </c>
      <c r="F166" t="inlineStr">
        <is>
          <t>SKÅNE LÄN</t>
        </is>
      </c>
      <c r="G166" t="inlineStr">
        <is>
          <t>ÖSTRA GÖINGE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24020-2023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46218</v>
      </c>
      <c r="F167" t="inlineStr">
        <is>
          <t>SKÅNE LÄN</t>
        </is>
      </c>
      <c r="G167" t="inlineStr">
        <is>
          <t>ÖSTRA GÖINGE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49228-2023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46218</v>
      </c>
      <c r="F168" t="inlineStr">
        <is>
          <t>SKÅNE LÄN</t>
        </is>
      </c>
      <c r="G168" t="inlineStr">
        <is>
          <t>ÖSTRA GÖINGE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45685</v>
      </c>
      <c r="E169" s="1" t="n">
        <v>46218</v>
      </c>
      <c r="F169" t="inlineStr">
        <is>
          <t>SKÅNE LÄN</t>
        </is>
      </c>
      <c r="G169" t="inlineStr">
        <is>
          <t>ÖSTRA GÖINGE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46218</v>
      </c>
      <c r="F170" t="inlineStr">
        <is>
          <t>SKÅNE LÄN</t>
        </is>
      </c>
      <c r="G170" t="inlineStr">
        <is>
          <t>ÖSTRA GÖINGE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48621-2023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46218</v>
      </c>
      <c r="F171" t="inlineStr">
        <is>
          <t>SKÅNE LÄN</t>
        </is>
      </c>
      <c r="G171" t="inlineStr">
        <is>
          <t>ÖSTRA GÖINGE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40843-2023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45172</v>
      </c>
      <c r="E172" s="1" t="n">
        <v>46218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20281-2025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45774</v>
      </c>
      <c r="E173" s="1" t="n">
        <v>46218</v>
      </c>
      <c r="F173" t="inlineStr">
        <is>
          <t>SKÅNE LÄN</t>
        </is>
      </c>
      <c r="G173" t="inlineStr">
        <is>
          <t>ÖSTRA GÖINGE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44789-2025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46218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16441-2023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45029</v>
      </c>
      <c r="E175" s="1" t="n">
        <v>46218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15993-2024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45405</v>
      </c>
      <c r="E176" s="1" t="n">
        <v>46218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36963-2024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46218</v>
      </c>
      <c r="F177" t="inlineStr">
        <is>
          <t>SKÅNE LÄN</t>
        </is>
      </c>
      <c r="G177" t="inlineStr">
        <is>
          <t>ÖSTRA GÖINGE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43395-2024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45568</v>
      </c>
      <c r="E178" s="1" t="n">
        <v>46218</v>
      </c>
      <c r="F178" t="inlineStr">
        <is>
          <t>SKÅNE LÄN</t>
        </is>
      </c>
      <c r="G178" t="inlineStr">
        <is>
          <t>ÖSTRA GÖINGE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5131-2023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46218</v>
      </c>
      <c r="F179" t="inlineStr">
        <is>
          <t>SKÅNE LÄN</t>
        </is>
      </c>
      <c r="G179" t="inlineStr">
        <is>
          <t>ÖSTRA GÖINGE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47628-2022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46218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37552-2024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46218</v>
      </c>
      <c r="F181" t="inlineStr">
        <is>
          <t>SKÅNE LÄN</t>
        </is>
      </c>
      <c r="G181" t="inlineStr">
        <is>
          <t>ÖSTRA GÖINGE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37575-2024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46218</v>
      </c>
      <c r="F182" t="inlineStr">
        <is>
          <t>SKÅNE LÄN</t>
        </is>
      </c>
      <c r="G182" t="inlineStr">
        <is>
          <t>ÖSTRA GÖINGE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3747-2023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46218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37592-2024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45541</v>
      </c>
      <c r="E184" s="1" t="n">
        <v>46218</v>
      </c>
      <c r="F184" t="inlineStr">
        <is>
          <t>SKÅNE LÄN</t>
        </is>
      </c>
      <c r="G184" t="inlineStr">
        <is>
          <t>ÖSTRA GÖINGE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44953</v>
      </c>
      <c r="E185" s="1" t="n">
        <v>46218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34256-2023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45138</v>
      </c>
      <c r="E186" s="1" t="n">
        <v>46218</v>
      </c>
      <c r="F186" t="inlineStr">
        <is>
          <t>SKÅNE LÄN</t>
        </is>
      </c>
      <c r="G186" t="inlineStr">
        <is>
          <t>ÖSTRA GÖINGE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23396-2023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46218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11451-2025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46218</v>
      </c>
      <c r="F188" t="inlineStr">
        <is>
          <t>SKÅNE LÄN</t>
        </is>
      </c>
      <c r="G188" t="inlineStr">
        <is>
          <t>ÖSTRA GÖINGE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19068-2025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45765</v>
      </c>
      <c r="E189" s="1" t="n">
        <v>46218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46218</v>
      </c>
      <c r="F190" t="inlineStr">
        <is>
          <t>SKÅNE LÄN</t>
        </is>
      </c>
      <c r="G190" t="inlineStr">
        <is>
          <t>ÖSTRA GÖINGE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37550-2024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46218</v>
      </c>
      <c r="F191" t="inlineStr">
        <is>
          <t>SKÅNE LÄN</t>
        </is>
      </c>
      <c r="G191" t="inlineStr">
        <is>
          <t>ÖSTRA GÖINGE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37559-2024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46218</v>
      </c>
      <c r="F192" t="inlineStr">
        <is>
          <t>SKÅNE LÄN</t>
        </is>
      </c>
      <c r="G192" t="inlineStr">
        <is>
          <t>ÖSTRA GÖINGE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37588-2024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46218</v>
      </c>
      <c r="F193" t="inlineStr">
        <is>
          <t>SKÅNE LÄN</t>
        </is>
      </c>
      <c r="G193" t="inlineStr">
        <is>
          <t>ÖSTRA GÖINGE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37593-2024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46218</v>
      </c>
      <c r="F194" t="inlineStr">
        <is>
          <t>SKÅNE LÄN</t>
        </is>
      </c>
      <c r="G194" t="inlineStr">
        <is>
          <t>ÖSTRA GÖINGE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52522-2021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46218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46218</v>
      </c>
      <c r="F196" t="inlineStr">
        <is>
          <t>SKÅNE LÄN</t>
        </is>
      </c>
      <c r="G196" t="inlineStr">
        <is>
          <t>ÖSTRA GÖINGE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45076</v>
      </c>
      <c r="E197" s="1" t="n">
        <v>46218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7387-2022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44606</v>
      </c>
      <c r="E198" s="1" t="n">
        <v>46218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58279-2024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45632</v>
      </c>
      <c r="E199" s="1" t="n">
        <v>46218</v>
      </c>
      <c r="F199" t="inlineStr">
        <is>
          <t>SKÅNE LÄN</t>
        </is>
      </c>
      <c r="G199" t="inlineStr">
        <is>
          <t>ÖSTRA GÖINGE</t>
        </is>
      </c>
      <c r="I199" t="n">
        <v>9.4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59601-2023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46218</v>
      </c>
      <c r="F200" t="inlineStr">
        <is>
          <t>SKÅNE LÄN</t>
        </is>
      </c>
      <c r="G200" t="inlineStr">
        <is>
          <t>ÖSTRA GÖINGE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46218</v>
      </c>
      <c r="F201" t="inlineStr">
        <is>
          <t>SKÅNE LÄN</t>
        </is>
      </c>
      <c r="G201" t="inlineStr">
        <is>
          <t>ÖSTRA GÖINGE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35673-2023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45147</v>
      </c>
      <c r="E202" s="1" t="n">
        <v>46218</v>
      </c>
      <c r="F202" t="inlineStr">
        <is>
          <t>SKÅNE LÄN</t>
        </is>
      </c>
      <c r="G202" t="inlineStr">
        <is>
          <t>ÖSTRA GÖINGE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45316</v>
      </c>
      <c r="E203" s="1" t="n">
        <v>46218</v>
      </c>
      <c r="F203" t="inlineStr">
        <is>
          <t>SKÅNE LÄN</t>
        </is>
      </c>
      <c r="G203" t="inlineStr">
        <is>
          <t>ÖSTRA GÖINGE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34649-2023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45139</v>
      </c>
      <c r="E204" s="1" t="n">
        <v>46218</v>
      </c>
      <c r="F204" t="inlineStr">
        <is>
          <t>SKÅNE LÄN</t>
        </is>
      </c>
      <c r="G204" t="inlineStr">
        <is>
          <t>ÖSTRA GÖINGE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43478-2023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46218</v>
      </c>
      <c r="F205" t="inlineStr">
        <is>
          <t>SKÅNE LÄN</t>
        </is>
      </c>
      <c r="G205" t="inlineStr">
        <is>
          <t>ÖSTRA GÖINGE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45674</v>
      </c>
      <c r="E206" s="1" t="n">
        <v>46218</v>
      </c>
      <c r="F206" t="inlineStr">
        <is>
          <t>SKÅNE LÄN</t>
        </is>
      </c>
      <c r="G206" t="inlineStr">
        <is>
          <t>ÖSTRA GÖINGE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62144-2023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46218</v>
      </c>
      <c r="F207" t="inlineStr">
        <is>
          <t>SKÅNE LÄN</t>
        </is>
      </c>
      <c r="G207" t="inlineStr">
        <is>
          <t>ÖSTRA GÖINGE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45198</v>
      </c>
      <c r="E208" s="1" t="n">
        <v>46218</v>
      </c>
      <c r="F208" t="inlineStr">
        <is>
          <t>SKÅNE LÄN</t>
        </is>
      </c>
      <c r="G208" t="inlineStr">
        <is>
          <t>ÖSTRA GÖINGE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46218</v>
      </c>
      <c r="F209" t="inlineStr">
        <is>
          <t>SKÅNE LÄN</t>
        </is>
      </c>
      <c r="G209" t="inlineStr">
        <is>
          <t>ÖSTRA GÖINGE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45321</v>
      </c>
      <c r="E210" s="1" t="n">
        <v>46218</v>
      </c>
      <c r="F210" t="inlineStr">
        <is>
          <t>SKÅNE LÄN</t>
        </is>
      </c>
      <c r="G210" t="inlineStr">
        <is>
          <t>ÖSTRA GÖINGE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46218</v>
      </c>
      <c r="F211" t="inlineStr">
        <is>
          <t>SKÅNE LÄN</t>
        </is>
      </c>
      <c r="G211" t="inlineStr">
        <is>
          <t>ÖSTRA GÖINGE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44946</v>
      </c>
      <c r="E212" s="1" t="n">
        <v>46218</v>
      </c>
      <c r="F212" t="inlineStr">
        <is>
          <t>SKÅNE LÄN</t>
        </is>
      </c>
      <c r="G212" t="inlineStr">
        <is>
          <t>ÖSTRA GÖINGE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35676-2023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46218</v>
      </c>
      <c r="F213" t="inlineStr">
        <is>
          <t>SKÅNE LÄN</t>
        </is>
      </c>
      <c r="G213" t="inlineStr">
        <is>
          <t>ÖSTRA GÖINGE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9538-2023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46218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37784-2022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44810</v>
      </c>
      <c r="E215" s="1" t="n">
        <v>46218</v>
      </c>
      <c r="F215" t="inlineStr">
        <is>
          <t>SKÅNE LÄN</t>
        </is>
      </c>
      <c r="G215" t="inlineStr">
        <is>
          <t>ÖSTRA GÖINGE</t>
        </is>
      </c>
      <c r="H215" t="inlineStr">
        <is>
          <t>Kyrkan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48707-2025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45935</v>
      </c>
      <c r="E216" s="1" t="n">
        <v>46218</v>
      </c>
      <c r="F216" t="inlineStr">
        <is>
          <t>SKÅNE LÄN</t>
        </is>
      </c>
      <c r="G216" t="inlineStr">
        <is>
          <t>ÖSTRA GÖINGE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59188-2022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46218</v>
      </c>
      <c r="F217" t="inlineStr">
        <is>
          <t>SKÅNE LÄN</t>
        </is>
      </c>
      <c r="G217" t="inlineStr">
        <is>
          <t>ÖSTRA GÖINGE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37571-2024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46218</v>
      </c>
      <c r="F218" t="inlineStr">
        <is>
          <t>SKÅNE LÄN</t>
        </is>
      </c>
      <c r="G218" t="inlineStr">
        <is>
          <t>ÖSTRA GÖINGE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37578-2024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46218</v>
      </c>
      <c r="F219" t="inlineStr">
        <is>
          <t>SKÅNE LÄN</t>
        </is>
      </c>
      <c r="G219" t="inlineStr">
        <is>
          <t>ÖSTRA GÖINGE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37589-2024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46218</v>
      </c>
      <c r="F220" t="inlineStr">
        <is>
          <t>SKÅNE LÄN</t>
        </is>
      </c>
      <c r="G220" t="inlineStr">
        <is>
          <t>ÖSTRA GÖINGE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59201-2022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46218</v>
      </c>
      <c r="F221" t="inlineStr">
        <is>
          <t>SKÅNE LÄN</t>
        </is>
      </c>
      <c r="G221" t="inlineStr">
        <is>
          <t>ÖSTRA GÖINGE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46218</v>
      </c>
      <c r="F222" t="inlineStr">
        <is>
          <t>SKÅNE LÄN</t>
        </is>
      </c>
      <c r="G222" t="inlineStr">
        <is>
          <t>ÖSTRA GÖINGE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22081-2023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46218</v>
      </c>
      <c r="F223" t="inlineStr">
        <is>
          <t>SKÅNE LÄN</t>
        </is>
      </c>
      <c r="G223" t="inlineStr">
        <is>
          <t>ÖSTRA GÖINGE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69383-2021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44531</v>
      </c>
      <c r="E224" s="1" t="n">
        <v>46218</v>
      </c>
      <c r="F224" t="inlineStr">
        <is>
          <t>SKÅNE LÄN</t>
        </is>
      </c>
      <c r="G224" t="inlineStr">
        <is>
          <t>ÖSTRA GÖINGE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69390-2021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46218</v>
      </c>
      <c r="F225" t="inlineStr">
        <is>
          <t>SKÅNE LÄN</t>
        </is>
      </c>
      <c r="G225" t="inlineStr">
        <is>
          <t>ÖSTRA GÖINGE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62052-2022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44918</v>
      </c>
      <c r="E226" s="1" t="n">
        <v>46218</v>
      </c>
      <c r="F226" t="inlineStr">
        <is>
          <t>SKÅNE LÄN</t>
        </is>
      </c>
      <c r="G226" t="inlineStr">
        <is>
          <t>ÖSTRA GÖINGE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46218</v>
      </c>
      <c r="F227" t="inlineStr">
        <is>
          <t>SKÅNE LÄN</t>
        </is>
      </c>
      <c r="G227" t="inlineStr">
        <is>
          <t>ÖSTRA GÖINGE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44764-2021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44438</v>
      </c>
      <c r="E228" s="1" t="n">
        <v>46218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5096-2022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46218</v>
      </c>
      <c r="F229" t="inlineStr">
        <is>
          <t>SKÅNE LÄN</t>
        </is>
      </c>
      <c r="G229" t="inlineStr">
        <is>
          <t>ÖSTRA GÖINGE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64181-2023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45279</v>
      </c>
      <c r="E230" s="1" t="n">
        <v>46218</v>
      </c>
      <c r="F230" t="inlineStr">
        <is>
          <t>SKÅNE LÄN</t>
        </is>
      </c>
      <c r="G230" t="inlineStr">
        <is>
          <t>ÖSTRA GÖINGE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63436-2023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45274</v>
      </c>
      <c r="E231" s="1" t="n">
        <v>46218</v>
      </c>
      <c r="F231" t="inlineStr">
        <is>
          <t>SKÅNE LÄN</t>
        </is>
      </c>
      <c r="G231" t="inlineStr">
        <is>
          <t>ÖSTRA GÖINGE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62138-2023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45267</v>
      </c>
      <c r="E232" s="1" t="n">
        <v>46218</v>
      </c>
      <c r="F232" t="inlineStr">
        <is>
          <t>SKÅNE LÄN</t>
        </is>
      </c>
      <c r="G232" t="inlineStr">
        <is>
          <t>ÖSTRA GÖINGE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11722-2023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44992</v>
      </c>
      <c r="E233" s="1" t="n">
        <v>46218</v>
      </c>
      <c r="F233" t="inlineStr">
        <is>
          <t>SKÅNE LÄN</t>
        </is>
      </c>
      <c r="G233" t="inlineStr">
        <is>
          <t>ÖSTRA GÖINGE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47591-2023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46218</v>
      </c>
      <c r="F234" t="inlineStr">
        <is>
          <t>SKÅNE LÄN</t>
        </is>
      </c>
      <c r="G234" t="inlineStr">
        <is>
          <t>ÖSTRA GÖINGE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55703-2024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45622</v>
      </c>
      <c r="E235" s="1" t="n">
        <v>46218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46218</v>
      </c>
      <c r="F236" t="inlineStr">
        <is>
          <t>SKÅNE LÄN</t>
        </is>
      </c>
      <c r="G236" t="inlineStr">
        <is>
          <t>ÖSTRA GÖINGE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46218</v>
      </c>
      <c r="F237" t="inlineStr">
        <is>
          <t>SKÅNE LÄN</t>
        </is>
      </c>
      <c r="G237" t="inlineStr">
        <is>
          <t>ÖSTRA GÖINGE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32514-2023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46218</v>
      </c>
      <c r="F238" t="inlineStr">
        <is>
          <t>SKÅNE LÄN</t>
        </is>
      </c>
      <c r="G238" t="inlineStr">
        <is>
          <t>ÖSTRA GÖINGE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58868-2021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44489</v>
      </c>
      <c r="E239" s="1" t="n">
        <v>46218</v>
      </c>
      <c r="F239" t="inlineStr">
        <is>
          <t>SKÅNE LÄN</t>
        </is>
      </c>
      <c r="G239" t="inlineStr">
        <is>
          <t>ÖSTRA GÖINGE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55140-2022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44886</v>
      </c>
      <c r="E240" s="1" t="n">
        <v>46218</v>
      </c>
      <c r="F240" t="inlineStr">
        <is>
          <t>SKÅNE LÄN</t>
        </is>
      </c>
      <c r="G240" t="inlineStr">
        <is>
          <t>ÖSTRA GÖINGE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7804-2025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45706</v>
      </c>
      <c r="E241" s="1" t="n">
        <v>46218</v>
      </c>
      <c r="F241" t="inlineStr">
        <is>
          <t>SKÅNE LÄN</t>
        </is>
      </c>
      <c r="G241" t="inlineStr">
        <is>
          <t>ÖSTRA GÖINGE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29284-2023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46218</v>
      </c>
      <c r="F242" t="inlineStr">
        <is>
          <t>SKÅNE LÄN</t>
        </is>
      </c>
      <c r="G242" t="inlineStr">
        <is>
          <t>ÖSTRA GÖINGE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44956</v>
      </c>
      <c r="E243" s="1" t="n">
        <v>46218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46218</v>
      </c>
      <c r="F244" t="inlineStr">
        <is>
          <t>SKÅNE LÄN</t>
        </is>
      </c>
      <c r="G244" t="inlineStr">
        <is>
          <t>ÖSTRA GÖINGE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27318-2022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44742</v>
      </c>
      <c r="E245" s="1" t="n">
        <v>46218</v>
      </c>
      <c r="F245" t="inlineStr">
        <is>
          <t>SKÅNE LÄN</t>
        </is>
      </c>
      <c r="G245" t="inlineStr">
        <is>
          <t>ÖSTRA GÖINGE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8380-2023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46218</v>
      </c>
      <c r="F246" t="inlineStr">
        <is>
          <t>SKÅNE LÄN</t>
        </is>
      </c>
      <c r="G246" t="inlineStr">
        <is>
          <t>ÖSTRA GÖINGE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55933-2023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46218</v>
      </c>
      <c r="F247" t="inlineStr">
        <is>
          <t>SKÅNE LÄN</t>
        </is>
      </c>
      <c r="G247" t="inlineStr">
        <is>
          <t>ÖSTRA GÖINGE</t>
        </is>
      </c>
      <c r="I247" t="n">
        <v>10.6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35552-2023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45146</v>
      </c>
      <c r="E248" s="1" t="n">
        <v>46218</v>
      </c>
      <c r="F248" t="inlineStr">
        <is>
          <t>SKÅNE LÄN</t>
        </is>
      </c>
      <c r="G248" t="inlineStr">
        <is>
          <t>ÖSTRA GÖINGE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50356-2023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45209</v>
      </c>
      <c r="E249" s="1" t="n">
        <v>46218</v>
      </c>
      <c r="F249" t="inlineStr">
        <is>
          <t>SKÅNE LÄN</t>
        </is>
      </c>
      <c r="G249" t="inlineStr">
        <is>
          <t>ÖSTRA GÖINGE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52051-2022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46218</v>
      </c>
      <c r="F250" t="inlineStr">
        <is>
          <t>SKÅNE LÄN</t>
        </is>
      </c>
      <c r="G250" t="inlineStr">
        <is>
          <t>ÖSTRA GÖINGE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36324-2022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44803</v>
      </c>
      <c r="E251" s="1" t="n">
        <v>46218</v>
      </c>
      <c r="F251" t="inlineStr">
        <is>
          <t>SKÅNE LÄN</t>
        </is>
      </c>
      <c r="G251" t="inlineStr">
        <is>
          <t>ÖSTRA GÖINGE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44043-2023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45188</v>
      </c>
      <c r="E252" s="1" t="n">
        <v>46218</v>
      </c>
      <c r="F252" t="inlineStr">
        <is>
          <t>SKÅNE LÄN</t>
        </is>
      </c>
      <c r="G252" t="inlineStr">
        <is>
          <t>ÖSTRA GÖINGE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42373-2024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45564</v>
      </c>
      <c r="E253" s="1" t="n">
        <v>46218</v>
      </c>
      <c r="F253" t="inlineStr">
        <is>
          <t>SKÅNE LÄN</t>
        </is>
      </c>
      <c r="G253" t="inlineStr">
        <is>
          <t>ÖSTRA GÖINGE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61096-2022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44915</v>
      </c>
      <c r="E254" s="1" t="n">
        <v>46218</v>
      </c>
      <c r="F254" t="inlineStr">
        <is>
          <t>SKÅNE LÄN</t>
        </is>
      </c>
      <c r="G254" t="inlineStr">
        <is>
          <t>ÖSTRA GÖINGE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57529-2022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46218</v>
      </c>
      <c r="F255" t="inlineStr">
        <is>
          <t>SKÅNE LÄN</t>
        </is>
      </c>
      <c r="G255" t="inlineStr">
        <is>
          <t>ÖSTRA GÖINGE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27724-2024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45475</v>
      </c>
      <c r="E256" s="1" t="n">
        <v>46218</v>
      </c>
      <c r="F256" t="inlineStr">
        <is>
          <t>SKÅNE LÄN</t>
        </is>
      </c>
      <c r="G256" t="inlineStr">
        <is>
          <t>ÖSTRA GÖINGE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17855-2025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45758</v>
      </c>
      <c r="E257" s="1" t="n">
        <v>46218</v>
      </c>
      <c r="F257" t="inlineStr">
        <is>
          <t>SKÅNE LÄN</t>
        </is>
      </c>
      <c r="G257" t="inlineStr">
        <is>
          <t>ÖSTRA GÖINGE</t>
        </is>
      </c>
      <c r="H257" t="inlineStr">
        <is>
          <t>Sveaskog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17860-2025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46218</v>
      </c>
      <c r="F258" t="inlineStr">
        <is>
          <t>SKÅNE LÄN</t>
        </is>
      </c>
      <c r="G258" t="inlineStr">
        <is>
          <t>ÖSTRA GÖINGE</t>
        </is>
      </c>
      <c r="H258" t="inlineStr">
        <is>
          <t>Sveaskog</t>
        </is>
      </c>
      <c r="I258" t="n">
        <v>9.1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16505-2024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46218</v>
      </c>
      <c r="F259" t="inlineStr">
        <is>
          <t>SKÅNE LÄN</t>
        </is>
      </c>
      <c r="G259" t="inlineStr">
        <is>
          <t>ÖSTRA GÖINGE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16509-2024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46218</v>
      </c>
      <c r="F260" t="inlineStr">
        <is>
          <t>SKÅNE LÄN</t>
        </is>
      </c>
      <c r="G260" t="inlineStr">
        <is>
          <t>ÖSTRA GÖINGE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34722-2023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46218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16261-2023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45022</v>
      </c>
      <c r="E262" s="1" t="n">
        <v>46218</v>
      </c>
      <c r="F262" t="inlineStr">
        <is>
          <t>SKÅNE LÄN</t>
        </is>
      </c>
      <c r="G262" t="inlineStr">
        <is>
          <t>ÖSTRA GÖINGE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50922-2021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44459</v>
      </c>
      <c r="E263" s="1" t="n">
        <v>46218</v>
      </c>
      <c r="F263" t="inlineStr">
        <is>
          <t>SKÅNE LÄN</t>
        </is>
      </c>
      <c r="G263" t="inlineStr">
        <is>
          <t>ÖSTRA GÖINGE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6521-2025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45699</v>
      </c>
      <c r="E264" s="1" t="n">
        <v>46218</v>
      </c>
      <c r="F264" t="inlineStr">
        <is>
          <t>SKÅNE LÄN</t>
        </is>
      </c>
      <c r="G264" t="inlineStr">
        <is>
          <t>ÖSTRA GÖINGE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45271</v>
      </c>
      <c r="E265" s="1" t="n">
        <v>46218</v>
      </c>
      <c r="F265" t="inlineStr">
        <is>
          <t>SKÅNE LÄN</t>
        </is>
      </c>
      <c r="G265" t="inlineStr">
        <is>
          <t>ÖSTRA GÖINGE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37056-2024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45539</v>
      </c>
      <c r="E266" s="1" t="n">
        <v>46218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22094-2024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46218</v>
      </c>
      <c r="F267" t="inlineStr">
        <is>
          <t>SKÅNE LÄN</t>
        </is>
      </c>
      <c r="G267" t="inlineStr">
        <is>
          <t>ÖSTRA GÖINGE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44937</v>
      </c>
      <c r="E268" s="1" t="n">
        <v>46218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45686</v>
      </c>
      <c r="E269" s="1" t="n">
        <v>46218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66526-2021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44519</v>
      </c>
      <c r="E270" s="1" t="n">
        <v>46218</v>
      </c>
      <c r="F270" t="inlineStr">
        <is>
          <t>SKÅNE LÄN</t>
        </is>
      </c>
      <c r="G270" t="inlineStr">
        <is>
          <t>ÖSTRA GÖINGE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44929</v>
      </c>
      <c r="E271" s="1" t="n">
        <v>46218</v>
      </c>
      <c r="F271" t="inlineStr">
        <is>
          <t>SKÅNE LÄN</t>
        </is>
      </c>
      <c r="G271" t="inlineStr">
        <is>
          <t>ÖSTRA GÖINGE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60504-2024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46218</v>
      </c>
      <c r="F272" t="inlineStr">
        <is>
          <t>SKÅNE LÄN</t>
        </is>
      </c>
      <c r="G272" t="inlineStr">
        <is>
          <t>ÖSTRA GÖINGE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56647-2023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46218</v>
      </c>
      <c r="F273" t="inlineStr">
        <is>
          <t>SKÅNE LÄN</t>
        </is>
      </c>
      <c r="G273" t="inlineStr">
        <is>
          <t>ÖSTRA GÖINGE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13140-2024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45386</v>
      </c>
      <c r="E274" s="1" t="n">
        <v>46218</v>
      </c>
      <c r="F274" t="inlineStr">
        <is>
          <t>SKÅNE LÄN</t>
        </is>
      </c>
      <c r="G274" t="inlineStr">
        <is>
          <t>ÖSTRA GÖINGE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45638</v>
      </c>
      <c r="E275" s="1" t="n">
        <v>46218</v>
      </c>
      <c r="F275" t="inlineStr">
        <is>
          <t>SKÅNE LÄN</t>
        </is>
      </c>
      <c r="G275" t="inlineStr">
        <is>
          <t>ÖSTRA GÖINGE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18540-2022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44686</v>
      </c>
      <c r="E276" s="1" t="n">
        <v>46218</v>
      </c>
      <c r="F276" t="inlineStr">
        <is>
          <t>SKÅNE LÄN</t>
        </is>
      </c>
      <c r="G276" t="inlineStr">
        <is>
          <t>ÖSTRA GÖINGE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20407-2024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46218</v>
      </c>
      <c r="F277" t="inlineStr">
        <is>
          <t>SKÅNE LÄN</t>
        </is>
      </c>
      <c r="G277" t="inlineStr">
        <is>
          <t>ÖSTRA GÖINGE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24986-2023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46218</v>
      </c>
      <c r="F278" t="inlineStr">
        <is>
          <t>SKÅNE LÄN</t>
        </is>
      </c>
      <c r="G278" t="inlineStr">
        <is>
          <t>ÖSTRA GÖINGE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61137-2024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46218</v>
      </c>
      <c r="F279" t="inlineStr">
        <is>
          <t>SKÅNE LÄN</t>
        </is>
      </c>
      <c r="G279" t="inlineStr">
        <is>
          <t>ÖSTRA GÖINGE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24285-2025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45797</v>
      </c>
      <c r="E280" s="1" t="n">
        <v>46218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26339-2023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45091</v>
      </c>
      <c r="E281" s="1" t="n">
        <v>46218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63891-2023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45278</v>
      </c>
      <c r="E282" s="1" t="n">
        <v>46218</v>
      </c>
      <c r="F282" t="inlineStr">
        <is>
          <t>SKÅNE LÄN</t>
        </is>
      </c>
      <c r="G282" t="inlineStr">
        <is>
          <t>ÖSTRA GÖINGE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42192-2023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45179</v>
      </c>
      <c r="E283" s="1" t="n">
        <v>46218</v>
      </c>
      <c r="F283" t="inlineStr">
        <is>
          <t>SKÅNE LÄN</t>
        </is>
      </c>
      <c r="G283" t="inlineStr">
        <is>
          <t>ÖSTRA GÖINGE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16438-2023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46218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45227</v>
      </c>
      <c r="E285" s="1" t="n">
        <v>46218</v>
      </c>
      <c r="F285" t="inlineStr">
        <is>
          <t>SKÅNE LÄN</t>
        </is>
      </c>
      <c r="G285" t="inlineStr">
        <is>
          <t>ÖSTRA GÖINGE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6753-2025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46218</v>
      </c>
      <c r="F286" t="inlineStr">
        <is>
          <t>SKÅNE LÄN</t>
        </is>
      </c>
      <c r="G286" t="inlineStr">
        <is>
          <t>ÖSTRA GÖINGE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54749-2025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46218</v>
      </c>
      <c r="F287" t="inlineStr">
        <is>
          <t>SKÅNE LÄN</t>
        </is>
      </c>
      <c r="G287" t="inlineStr">
        <is>
          <t>ÖSTRA GÖINGE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54743-2025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46218</v>
      </c>
      <c r="F288" t="inlineStr">
        <is>
          <t>SKÅNE LÄN</t>
        </is>
      </c>
      <c r="G288" t="inlineStr">
        <is>
          <t>ÖSTRA GÖINGE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54746-2025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46218</v>
      </c>
      <c r="F289" t="inlineStr">
        <is>
          <t>SKÅNE LÄN</t>
        </is>
      </c>
      <c r="G289" t="inlineStr">
        <is>
          <t>ÖSTRA GÖINGE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54747-2025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46218</v>
      </c>
      <c r="F290" t="inlineStr">
        <is>
          <t>SKÅNE LÄN</t>
        </is>
      </c>
      <c r="G290" t="inlineStr">
        <is>
          <t>ÖSTRA GÖINGE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45320</v>
      </c>
      <c r="E291" s="1" t="n">
        <v>46218</v>
      </c>
      <c r="F291" t="inlineStr">
        <is>
          <t>SKÅNE LÄN</t>
        </is>
      </c>
      <c r="G291" t="inlineStr">
        <is>
          <t>ÖSTRA GÖINGE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60251-2022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44910</v>
      </c>
      <c r="E292" s="1" t="n">
        <v>46218</v>
      </c>
      <c r="F292" t="inlineStr">
        <is>
          <t>SKÅNE LÄN</t>
        </is>
      </c>
      <c r="G292" t="inlineStr">
        <is>
          <t>ÖSTRA GÖINGE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19149-2024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46218</v>
      </c>
      <c r="F293" t="inlineStr">
        <is>
          <t>SKÅNE LÄN</t>
        </is>
      </c>
      <c r="G293" t="inlineStr">
        <is>
          <t>ÖSTRA GÖINGE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42592-2021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44428</v>
      </c>
      <c r="E294" s="1" t="n">
        <v>46218</v>
      </c>
      <c r="F294" t="inlineStr">
        <is>
          <t>SKÅNE LÄN</t>
        </is>
      </c>
      <c r="G294" t="inlineStr">
        <is>
          <t>ÖSTRA GÖINGE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54636-2025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46218</v>
      </c>
      <c r="F295" t="inlineStr">
        <is>
          <t>SKÅNE LÄN</t>
        </is>
      </c>
      <c r="G295" t="inlineStr">
        <is>
          <t>ÖSTRA GÖINGE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43401-2024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46218</v>
      </c>
      <c r="F296" t="inlineStr">
        <is>
          <t>SKÅNE LÄN</t>
        </is>
      </c>
      <c r="G296" t="inlineStr">
        <is>
          <t>ÖSTRA GÖINGE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45970</v>
      </c>
      <c r="E297" s="1" t="n">
        <v>46218</v>
      </c>
      <c r="F297" t="inlineStr">
        <is>
          <t>SKÅNE LÄN</t>
        </is>
      </c>
      <c r="G297" t="inlineStr">
        <is>
          <t>ÖSTRA GÖINGE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41548-2022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44826</v>
      </c>
      <c r="E298" s="1" t="n">
        <v>46218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15057-2023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45015</v>
      </c>
      <c r="E299" s="1" t="n">
        <v>46218</v>
      </c>
      <c r="F299" t="inlineStr">
        <is>
          <t>SKÅNE LÄN</t>
        </is>
      </c>
      <c r="G299" t="inlineStr">
        <is>
          <t>ÖSTRA GÖINGE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34793-2023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46218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59328-2023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45252</v>
      </c>
      <c r="E301" s="1" t="n">
        <v>46218</v>
      </c>
      <c r="F301" t="inlineStr">
        <is>
          <t>SKÅNE LÄN</t>
        </is>
      </c>
      <c r="G301" t="inlineStr">
        <is>
          <t>ÖSTRA GÖINGE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55843-2025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46218</v>
      </c>
      <c r="F302" t="inlineStr">
        <is>
          <t>SKÅNE LÄN</t>
        </is>
      </c>
      <c r="G302" t="inlineStr">
        <is>
          <t>ÖSTRA GÖINGE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37978-2024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45544</v>
      </c>
      <c r="E303" s="1" t="n">
        <v>46218</v>
      </c>
      <c r="F303" t="inlineStr">
        <is>
          <t>SKÅNE LÄN</t>
        </is>
      </c>
      <c r="G303" t="inlineStr">
        <is>
          <t>ÖSTRA GÖINGE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46218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22095-2024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45443</v>
      </c>
      <c r="E305" s="1" t="n">
        <v>46218</v>
      </c>
      <c r="F305" t="inlineStr">
        <is>
          <t>SKÅNE LÄN</t>
        </is>
      </c>
      <c r="G305" t="inlineStr">
        <is>
          <t>ÖSTRA GÖINGE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46218</v>
      </c>
      <c r="F306" t="inlineStr">
        <is>
          <t>SKÅNE LÄN</t>
        </is>
      </c>
      <c r="G306" t="inlineStr">
        <is>
          <t>ÖSTRA GÖINGE</t>
        </is>
      </c>
      <c r="H306" t="inlineStr">
        <is>
          <t>Sveaskog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55824-2025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46218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55825-2025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46218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55826-2025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46218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7739-2024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45349</v>
      </c>
      <c r="E310" s="1" t="n">
        <v>46218</v>
      </c>
      <c r="F310" t="inlineStr">
        <is>
          <t>SKÅNE LÄN</t>
        </is>
      </c>
      <c r="G310" t="inlineStr">
        <is>
          <t>ÖSTRA GÖINGE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9537-2023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44981</v>
      </c>
      <c r="E311" s="1" t="n">
        <v>46218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50663-2024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45601</v>
      </c>
      <c r="E312" s="1" t="n">
        <v>46218</v>
      </c>
      <c r="F312" t="inlineStr">
        <is>
          <t>SKÅNE LÄN</t>
        </is>
      </c>
      <c r="G312" t="inlineStr">
        <is>
          <t>ÖSTRA GÖINGE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56610-2025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46218</v>
      </c>
      <c r="F313" t="inlineStr">
        <is>
          <t>SKÅNE LÄN</t>
        </is>
      </c>
      <c r="G313" t="inlineStr">
        <is>
          <t>ÖSTRA GÖINGE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11645-2025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46218</v>
      </c>
      <c r="F314" t="inlineStr">
        <is>
          <t>SKÅNE LÄN</t>
        </is>
      </c>
      <c r="G314" t="inlineStr">
        <is>
          <t>ÖSTRA GÖINGE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29355-2024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46218</v>
      </c>
      <c r="F315" t="inlineStr">
        <is>
          <t>SKÅNE LÄN</t>
        </is>
      </c>
      <c r="G315" t="inlineStr">
        <is>
          <t>ÖSTRA GÖINGE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30142-2024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45489</v>
      </c>
      <c r="E316" s="1" t="n">
        <v>46218</v>
      </c>
      <c r="F316" t="inlineStr">
        <is>
          <t>SKÅNE LÄN</t>
        </is>
      </c>
      <c r="G316" t="inlineStr">
        <is>
          <t>ÖSTRA GÖINGE</t>
        </is>
      </c>
      <c r="I316" t="n">
        <v>11.9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4460-2025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46218</v>
      </c>
      <c r="F317" t="inlineStr">
        <is>
          <t>SKÅNE LÄN</t>
        </is>
      </c>
      <c r="G317" t="inlineStr">
        <is>
          <t>ÖSTRA GÖINGE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39934-2024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46218</v>
      </c>
      <c r="F318" t="inlineStr">
        <is>
          <t>SKÅNE LÄN</t>
        </is>
      </c>
      <c r="G318" t="inlineStr">
        <is>
          <t>ÖSTRA GÖINGE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53688-2024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46218</v>
      </c>
      <c r="F319" t="inlineStr">
        <is>
          <t>SKÅNE LÄN</t>
        </is>
      </c>
      <c r="G319" t="inlineStr">
        <is>
          <t>ÖSTRA GÖINGE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57434-2025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45980</v>
      </c>
      <c r="E320" s="1" t="n">
        <v>46218</v>
      </c>
      <c r="F320" t="inlineStr">
        <is>
          <t>SKÅNE LÄN</t>
        </is>
      </c>
      <c r="G320" t="inlineStr">
        <is>
          <t>ÖSTRA GÖINGE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28911-2025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45820</v>
      </c>
      <c r="E321" s="1" t="n">
        <v>46218</v>
      </c>
      <c r="F321" t="inlineStr">
        <is>
          <t>SKÅNE LÄN</t>
        </is>
      </c>
      <c r="G321" t="inlineStr">
        <is>
          <t>ÖSTRA GÖINGE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57465-2025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46218</v>
      </c>
      <c r="F322" t="inlineStr">
        <is>
          <t>SKÅNE LÄN</t>
        </is>
      </c>
      <c r="G322" t="inlineStr">
        <is>
          <t>ÖSTRA GÖINGE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57468-2025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46218</v>
      </c>
      <c r="F323" t="inlineStr">
        <is>
          <t>SKÅNE LÄN</t>
        </is>
      </c>
      <c r="G323" t="inlineStr">
        <is>
          <t>ÖSTRA GÖINGE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44602</v>
      </c>
      <c r="E324" s="1" t="n">
        <v>46218</v>
      </c>
      <c r="F324" t="inlineStr">
        <is>
          <t>SKÅNE LÄN</t>
        </is>
      </c>
      <c r="G324" t="inlineStr">
        <is>
          <t>ÖSTRA GÖINGE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44937</v>
      </c>
      <c r="E325" s="1" t="n">
        <v>46218</v>
      </c>
      <c r="F325" t="inlineStr">
        <is>
          <t>SKÅNE LÄN</t>
        </is>
      </c>
      <c r="G325" t="inlineStr">
        <is>
          <t>ÖSTRA GÖINGE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46218</v>
      </c>
      <c r="F326" t="inlineStr">
        <is>
          <t>SKÅNE LÄN</t>
        </is>
      </c>
      <c r="G326" t="inlineStr">
        <is>
          <t>ÖSTRA GÖINGE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28982-2025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46218</v>
      </c>
      <c r="F327" t="inlineStr">
        <is>
          <t>SKÅNE LÄN</t>
        </is>
      </c>
      <c r="G327" t="inlineStr">
        <is>
          <t>ÖSTRA GÖINGE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30108-2025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45826</v>
      </c>
      <c r="E328" s="1" t="n">
        <v>46218</v>
      </c>
      <c r="F328" t="inlineStr">
        <is>
          <t>SKÅNE LÄN</t>
        </is>
      </c>
      <c r="G328" t="inlineStr">
        <is>
          <t>ÖSTRA GÖINGE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46218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74142-2021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44557</v>
      </c>
      <c r="E330" s="1" t="n">
        <v>46218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31943-2025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46218</v>
      </c>
      <c r="F331" t="inlineStr">
        <is>
          <t>SKÅNE LÄN</t>
        </is>
      </c>
      <c r="G331" t="inlineStr">
        <is>
          <t>ÖSTRA GÖINGE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31847-2025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46218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31823-2025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46218</v>
      </c>
      <c r="F333" t="inlineStr">
        <is>
          <t>SKÅNE LÄN</t>
        </is>
      </c>
      <c r="G333" t="inlineStr">
        <is>
          <t>ÖSTRA GÖINGE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31858-2025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46218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34175-2025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46218</v>
      </c>
      <c r="F335" t="inlineStr">
        <is>
          <t>SKÅNE LÄN</t>
        </is>
      </c>
      <c r="G335" t="inlineStr">
        <is>
          <t>ÖSTRA GÖINGE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55490-2022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44887</v>
      </c>
      <c r="E336" s="1" t="n">
        <v>46218</v>
      </c>
      <c r="F336" t="inlineStr">
        <is>
          <t>SKÅNE LÄN</t>
        </is>
      </c>
      <c r="G336" t="inlineStr">
        <is>
          <t>ÖSTRA GÖINGE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59709-2023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45256</v>
      </c>
      <c r="E337" s="1" t="n">
        <v>46218</v>
      </c>
      <c r="F337" t="inlineStr">
        <is>
          <t>SKÅNE LÄN</t>
        </is>
      </c>
      <c r="G337" t="inlineStr">
        <is>
          <t>ÖSTRA GÖINGE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1225-2025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46218</v>
      </c>
      <c r="F338" t="inlineStr">
        <is>
          <t>SKÅNE LÄN</t>
        </is>
      </c>
      <c r="G338" t="inlineStr">
        <is>
          <t>ÖSTRA GÖINGE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34687-2025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45848</v>
      </c>
      <c r="E339" s="1" t="n">
        <v>46218</v>
      </c>
      <c r="F339" t="inlineStr">
        <is>
          <t>SKÅNE LÄN</t>
        </is>
      </c>
      <c r="G339" t="inlineStr">
        <is>
          <t>ÖSTRA GÖINGE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34690-2025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45848</v>
      </c>
      <c r="E340" s="1" t="n">
        <v>46218</v>
      </c>
      <c r="F340" t="inlineStr">
        <is>
          <t>SKÅNE LÄN</t>
        </is>
      </c>
      <c r="G340" t="inlineStr">
        <is>
          <t>ÖSTRA GÖINGE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58944-2024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46218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45777-2025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46218</v>
      </c>
      <c r="F342" t="inlineStr">
        <is>
          <t>SKÅNE LÄN</t>
        </is>
      </c>
      <c r="G342" t="inlineStr">
        <is>
          <t>ÖSTRA GÖINGE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35680-2023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45147</v>
      </c>
      <c r="E343" s="1" t="n">
        <v>46218</v>
      </c>
      <c r="F343" t="inlineStr">
        <is>
          <t>SKÅNE LÄN</t>
        </is>
      </c>
      <c r="G343" t="inlineStr">
        <is>
          <t>ÖSTRA GÖINGE</t>
        </is>
      </c>
      <c r="I343" t="n">
        <v>15.4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36919-2025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46218</v>
      </c>
      <c r="F344" t="inlineStr">
        <is>
          <t>SKÅNE LÄN</t>
        </is>
      </c>
      <c r="G344" t="inlineStr">
        <is>
          <t>ÖSTRA GÖINGE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56646-2023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46218</v>
      </c>
      <c r="F345" t="inlineStr">
        <is>
          <t>SKÅNE LÄN</t>
        </is>
      </c>
      <c r="G345" t="inlineStr">
        <is>
          <t>ÖSTRA GÖINGE</t>
        </is>
      </c>
      <c r="I345" t="n">
        <v>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45330</v>
      </c>
      <c r="E346" s="1" t="n">
        <v>46218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71747-2021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44539</v>
      </c>
      <c r="E347" s="1" t="n">
        <v>46218</v>
      </c>
      <c r="F347" t="inlineStr">
        <is>
          <t>SKÅNE LÄN</t>
        </is>
      </c>
      <c r="G347" t="inlineStr">
        <is>
          <t>ÖSTRA GÖINGE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60018-2025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46218</v>
      </c>
      <c r="F348" t="inlineStr">
        <is>
          <t>SKÅNE LÄN</t>
        </is>
      </c>
      <c r="G348" t="inlineStr">
        <is>
          <t>ÖSTRA GÖINGE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35547-2023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45146</v>
      </c>
      <c r="E349" s="1" t="n">
        <v>46218</v>
      </c>
      <c r="F349" t="inlineStr">
        <is>
          <t>SKÅNE LÄN</t>
        </is>
      </c>
      <c r="G349" t="inlineStr">
        <is>
          <t>ÖSTRA GÖINGE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46218</v>
      </c>
      <c r="F350" t="inlineStr">
        <is>
          <t>SKÅNE LÄN</t>
        </is>
      </c>
      <c r="G350" t="inlineStr">
        <is>
          <t>ÖSTRA GÖINGE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8367-2023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46218</v>
      </c>
      <c r="F351" t="inlineStr">
        <is>
          <t>SKÅNE LÄN</t>
        </is>
      </c>
      <c r="G351" t="inlineStr">
        <is>
          <t>ÖSTRA GÖINGE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57543-2022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46218</v>
      </c>
      <c r="F352" t="inlineStr">
        <is>
          <t>SKÅNE LÄN</t>
        </is>
      </c>
      <c r="G352" t="inlineStr">
        <is>
          <t>ÖSTRA GÖINGE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43224-2024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45567</v>
      </c>
      <c r="E353" s="1" t="n">
        <v>46218</v>
      </c>
      <c r="F353" t="inlineStr">
        <is>
          <t>SKÅNE LÄN</t>
        </is>
      </c>
      <c r="G353" t="inlineStr">
        <is>
          <t>ÖSTRA GÖINGE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58938-2024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46218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26465-2026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46218</v>
      </c>
      <c r="F355" t="inlineStr">
        <is>
          <t>SKÅNE LÄN</t>
        </is>
      </c>
      <c r="G355" t="inlineStr">
        <is>
          <t>ÖSTRA GÖINGE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26466-2026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46218</v>
      </c>
      <c r="F356" t="inlineStr">
        <is>
          <t>SKÅNE LÄN</t>
        </is>
      </c>
      <c r="G356" t="inlineStr">
        <is>
          <t>ÖSTRA GÖINGE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63167-2023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46218</v>
      </c>
      <c r="F357" t="inlineStr">
        <is>
          <t>SKÅNE LÄN</t>
        </is>
      </c>
      <c r="G357" t="inlineStr">
        <is>
          <t>ÖSTRA GÖINGE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54450-2025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46218</v>
      </c>
      <c r="F358" t="inlineStr">
        <is>
          <t>SKÅNE LÄN</t>
        </is>
      </c>
      <c r="G358" t="inlineStr">
        <is>
          <t>ÖSTRA GÖINGE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45331</v>
      </c>
      <c r="E359" s="1" t="n">
        <v>46218</v>
      </c>
      <c r="F359" t="inlineStr">
        <is>
          <t>SKÅNE LÄN</t>
        </is>
      </c>
      <c r="G359" t="inlineStr">
        <is>
          <t>ÖSTRA GÖINGE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35171-2024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46218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26467-2026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46182</v>
      </c>
      <c r="E361" s="1" t="n">
        <v>46218</v>
      </c>
      <c r="F361" t="inlineStr">
        <is>
          <t>SKÅNE LÄN</t>
        </is>
      </c>
      <c r="G361" t="inlineStr">
        <is>
          <t>ÖSTRA GÖINGE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26521-2026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46218</v>
      </c>
      <c r="F362" t="inlineStr">
        <is>
          <t>SKÅNE LÄN</t>
        </is>
      </c>
      <c r="G362" t="inlineStr">
        <is>
          <t>ÖSTRA GÖINGE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25933-2023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46218</v>
      </c>
      <c r="F363" t="inlineStr">
        <is>
          <t>SKÅNE LÄN</t>
        </is>
      </c>
      <c r="G363" t="inlineStr">
        <is>
          <t>ÖSTRA GÖINGE</t>
        </is>
      </c>
      <c r="I363" t="n">
        <v>12.8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46709-2024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46218</v>
      </c>
      <c r="F364" t="inlineStr">
        <is>
          <t>SKÅNE LÄN</t>
        </is>
      </c>
      <c r="G364" t="inlineStr">
        <is>
          <t>ÖSTRA GÖINGE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5098-2022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44593</v>
      </c>
      <c r="E365" s="1" t="n">
        <v>46218</v>
      </c>
      <c r="F365" t="inlineStr">
        <is>
          <t>SKÅNE LÄN</t>
        </is>
      </c>
      <c r="G365" t="inlineStr">
        <is>
          <t>ÖSTRA GÖINGE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20933-2026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46142</v>
      </c>
      <c r="E366" s="1" t="n">
        <v>46218</v>
      </c>
      <c r="F366" t="inlineStr">
        <is>
          <t>SKÅNE LÄN</t>
        </is>
      </c>
      <c r="G366" t="inlineStr">
        <is>
          <t>ÖSTRA GÖINGE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61926-2023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45266</v>
      </c>
      <c r="E367" s="1" t="n">
        <v>46218</v>
      </c>
      <c r="F367" t="inlineStr">
        <is>
          <t>SKÅNE LÄN</t>
        </is>
      </c>
      <c r="G367" t="inlineStr">
        <is>
          <t>ÖSTRA GÖINGE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26468-2026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46218</v>
      </c>
      <c r="F368" t="inlineStr">
        <is>
          <t>SKÅNE LÄN</t>
        </is>
      </c>
      <c r="G368" t="inlineStr">
        <is>
          <t>ÖSTRA GÖINGE</t>
        </is>
      </c>
      <c r="I368" t="n">
        <v>34.5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45117</v>
      </c>
      <c r="E369" s="1" t="n">
        <v>46218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48952-2022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44859</v>
      </c>
      <c r="E370" s="1" t="n">
        <v>46218</v>
      </c>
      <c r="F370" t="inlineStr">
        <is>
          <t>SKÅNE LÄN</t>
        </is>
      </c>
      <c r="G370" t="inlineStr">
        <is>
          <t>ÖSTRA GÖINGE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5138-2023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44958</v>
      </c>
      <c r="E371" s="1" t="n">
        <v>46218</v>
      </c>
      <c r="F371" t="inlineStr">
        <is>
          <t>SKÅNE LÄN</t>
        </is>
      </c>
      <c r="G371" t="inlineStr">
        <is>
          <t>ÖSTRA GÖINGE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44725-2022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44840</v>
      </c>
      <c r="E372" s="1" t="n">
        <v>46218</v>
      </c>
      <c r="F372" t="inlineStr">
        <is>
          <t>SKÅNE LÄN</t>
        </is>
      </c>
      <c r="G372" t="inlineStr">
        <is>
          <t>ÖSTRA GÖINGE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50896-2021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44460</v>
      </c>
      <c r="E373" s="1" t="n">
        <v>46218</v>
      </c>
      <c r="F373" t="inlineStr">
        <is>
          <t>SKÅNE LÄN</t>
        </is>
      </c>
      <c r="G373" t="inlineStr">
        <is>
          <t>ÖSTRA GÖINGE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50927-2021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46218</v>
      </c>
      <c r="F374" t="inlineStr">
        <is>
          <t>SKÅNE LÄN</t>
        </is>
      </c>
      <c r="G374" t="inlineStr">
        <is>
          <t>ÖSTRA GÖINGE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21260-2026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46147</v>
      </c>
      <c r="E375" s="1" t="n">
        <v>46218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46218</v>
      </c>
      <c r="F376" t="inlineStr">
        <is>
          <t>SKÅNE LÄN</t>
        </is>
      </c>
      <c r="G376" t="inlineStr">
        <is>
          <t>ÖSTRA GÖINGE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46677-2023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45198</v>
      </c>
      <c r="E377" s="1" t="n">
        <v>46218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36921-2024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45538</v>
      </c>
      <c r="E378" s="1" t="n">
        <v>46218</v>
      </c>
      <c r="F378" t="inlineStr">
        <is>
          <t>SKÅNE LÄN</t>
        </is>
      </c>
      <c r="G378" t="inlineStr">
        <is>
          <t>ÖSTRA GÖINGE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46218</v>
      </c>
      <c r="F379" t="inlineStr">
        <is>
          <t>SKÅNE LÄN</t>
        </is>
      </c>
      <c r="G379" t="inlineStr">
        <is>
          <t>ÖSTRA GÖINGE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46218</v>
      </c>
      <c r="F380" t="inlineStr">
        <is>
          <t>SKÅNE LÄN</t>
        </is>
      </c>
      <c r="G380" t="inlineStr">
        <is>
          <t>ÖSTRA GÖINGE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46218</v>
      </c>
      <c r="F381" t="inlineStr">
        <is>
          <t>SKÅNE LÄN</t>
        </is>
      </c>
      <c r="G381" t="inlineStr">
        <is>
          <t>ÖSTRA GÖINGE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46218</v>
      </c>
      <c r="F382" t="inlineStr">
        <is>
          <t>SKÅNE LÄN</t>
        </is>
      </c>
      <c r="G382" t="inlineStr">
        <is>
          <t>ÖSTRA GÖINGE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46218</v>
      </c>
      <c r="F383" t="inlineStr">
        <is>
          <t>SKÅNE LÄN</t>
        </is>
      </c>
      <c r="G383" t="inlineStr">
        <is>
          <t>ÖSTRA GÖINGE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57487-2023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45246</v>
      </c>
      <c r="E384" s="1" t="n">
        <v>46218</v>
      </c>
      <c r="F384" t="inlineStr">
        <is>
          <t>SKÅNE LÄN</t>
        </is>
      </c>
      <c r="G384" t="inlineStr">
        <is>
          <t>ÖSTRA GÖINGE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46218</v>
      </c>
      <c r="F385" t="inlineStr">
        <is>
          <t>SKÅNE LÄN</t>
        </is>
      </c>
      <c r="G385" t="inlineStr">
        <is>
          <t>ÖSTRA GÖINGE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46030</v>
      </c>
      <c r="E386" s="1" t="n">
        <v>46218</v>
      </c>
      <c r="F386" t="inlineStr">
        <is>
          <t>SKÅNE LÄN</t>
        </is>
      </c>
      <c r="G386" t="inlineStr">
        <is>
          <t>ÖSTRA GÖINGE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46218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46030</v>
      </c>
      <c r="E388" s="1" t="n">
        <v>46218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26506-2025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45807</v>
      </c>
      <c r="E389" s="1" t="n">
        <v>46218</v>
      </c>
      <c r="F389" t="inlineStr">
        <is>
          <t>SKÅNE LÄN</t>
        </is>
      </c>
      <c r="G389" t="inlineStr">
        <is>
          <t>ÖSTRA GÖINGE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46218</v>
      </c>
      <c r="F390" t="inlineStr">
        <is>
          <t>SKÅNE LÄN</t>
        </is>
      </c>
      <c r="G390" t="inlineStr">
        <is>
          <t>ÖSTRA GÖINGE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46218</v>
      </c>
      <c r="F391" t="inlineStr">
        <is>
          <t>SKÅNE LÄN</t>
        </is>
      </c>
      <c r="G391" t="inlineStr">
        <is>
          <t>ÖSTRA GÖINGE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22327-2026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46154</v>
      </c>
      <c r="E392" s="1" t="n">
        <v>46218</v>
      </c>
      <c r="F392" t="inlineStr">
        <is>
          <t>SKÅNE LÄN</t>
        </is>
      </c>
      <c r="G392" t="inlineStr">
        <is>
          <t>ÖSTRA GÖINGE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13324-2025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45735</v>
      </c>
      <c r="E393" s="1" t="n">
        <v>46218</v>
      </c>
      <c r="F393" t="inlineStr">
        <is>
          <t>SKÅNE LÄN</t>
        </is>
      </c>
      <c r="G393" t="inlineStr">
        <is>
          <t>ÖSTRA GÖINGE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69387-2021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44531</v>
      </c>
      <c r="E394" s="1" t="n">
        <v>46218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44853-2024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45574</v>
      </c>
      <c r="E395" s="1" t="n">
        <v>46218</v>
      </c>
      <c r="F395" t="inlineStr">
        <is>
          <t>SKÅNE LÄN</t>
        </is>
      </c>
      <c r="G395" t="inlineStr">
        <is>
          <t>ÖSTRA GÖINGE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43054-2025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45909</v>
      </c>
      <c r="E396" s="1" t="n">
        <v>46218</v>
      </c>
      <c r="F396" t="inlineStr">
        <is>
          <t>SKÅNE LÄN</t>
        </is>
      </c>
      <c r="G396" t="inlineStr">
        <is>
          <t>ÖSTRA GÖINGE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9709-2024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46218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46218</v>
      </c>
      <c r="F398" t="inlineStr">
        <is>
          <t>SKÅNE LÄN</t>
        </is>
      </c>
      <c r="G398" t="inlineStr">
        <is>
          <t>ÖSTRA GÖINGE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43447-2024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45568</v>
      </c>
      <c r="E399" s="1" t="n">
        <v>46218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10177-2026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46076</v>
      </c>
      <c r="E400" s="1" t="n">
        <v>46218</v>
      </c>
      <c r="F400" t="inlineStr">
        <is>
          <t>SKÅNE LÄN</t>
        </is>
      </c>
      <c r="G400" t="inlineStr">
        <is>
          <t>ÖSTRA GÖINGE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557-2023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46218</v>
      </c>
      <c r="F401" t="inlineStr">
        <is>
          <t>SKÅNE LÄN</t>
        </is>
      </c>
      <c r="G401" t="inlineStr">
        <is>
          <t>ÖSTRA GÖINGE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46042</v>
      </c>
      <c r="E402" s="1" t="n">
        <v>46218</v>
      </c>
      <c r="F402" t="inlineStr">
        <is>
          <t>SKÅNE LÄN</t>
        </is>
      </c>
      <c r="G402" t="inlineStr">
        <is>
          <t>ÖSTRA GÖINGE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57521-2022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44896</v>
      </c>
      <c r="E403" s="1" t="n">
        <v>46218</v>
      </c>
      <c r="F403" t="inlineStr">
        <is>
          <t>SKÅNE LÄN</t>
        </is>
      </c>
      <c r="G403" t="inlineStr">
        <is>
          <t>ÖSTRA GÖINGE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3577-2026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46218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3521-2026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46218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10497-2022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44623</v>
      </c>
      <c r="E406" s="1" t="n">
        <v>46218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11635-2025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45727</v>
      </c>
      <c r="E407" s="1" t="n">
        <v>46218</v>
      </c>
      <c r="F407" t="inlineStr">
        <is>
          <t>SKÅNE LÄN</t>
        </is>
      </c>
      <c r="G407" t="inlineStr">
        <is>
          <t>ÖSTRA GÖINGE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48408-2023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45205</v>
      </c>
      <c r="E408" s="1" t="n">
        <v>46218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12671-2025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45733</v>
      </c>
      <c r="E409" s="1" t="n">
        <v>46218</v>
      </c>
      <c r="F409" t="inlineStr">
        <is>
          <t>SKÅNE LÄN</t>
        </is>
      </c>
      <c r="G409" t="inlineStr">
        <is>
          <t>ÖSTRA GÖINGE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481-2026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46218</v>
      </c>
      <c r="F410" t="inlineStr">
        <is>
          <t>SKÅNE LÄN</t>
        </is>
      </c>
      <c r="G410" t="inlineStr">
        <is>
          <t>ÖSTRA GÖINGE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30140-2024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45489</v>
      </c>
      <c r="E411" s="1" t="n">
        <v>46218</v>
      </c>
      <c r="F411" t="inlineStr">
        <is>
          <t>SKÅNE LÄN</t>
        </is>
      </c>
      <c r="G411" t="inlineStr">
        <is>
          <t>ÖSTRA GÖINGE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45105</v>
      </c>
      <c r="E412" s="1" t="n">
        <v>46218</v>
      </c>
      <c r="F412" t="inlineStr">
        <is>
          <t>SKÅNE LÄN</t>
        </is>
      </c>
      <c r="G412" t="inlineStr">
        <is>
          <t>ÖSTRA GÖINGE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4435-2025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46218</v>
      </c>
      <c r="F413" t="inlineStr">
        <is>
          <t>SKÅNE LÄN</t>
        </is>
      </c>
      <c r="G413" t="inlineStr">
        <is>
          <t>ÖSTRA GÖINGE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11631-2024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45373</v>
      </c>
      <c r="E414" s="1" t="n">
        <v>46218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44742</v>
      </c>
      <c r="E415" s="1" t="n">
        <v>46218</v>
      </c>
      <c r="F415" t="inlineStr">
        <is>
          <t>SKÅNE LÄN</t>
        </is>
      </c>
      <c r="G415" t="inlineStr">
        <is>
          <t>ÖSTRA GÖINGE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47592-2023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45203</v>
      </c>
      <c r="E416" s="1" t="n">
        <v>46218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55489-2022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46218</v>
      </c>
      <c r="F417" t="inlineStr">
        <is>
          <t>SKÅNE LÄN</t>
        </is>
      </c>
      <c r="G417" t="inlineStr">
        <is>
          <t>ÖSTRA GÖINGE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23603-2026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46218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29856-2026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46218</v>
      </c>
      <c r="F419" t="inlineStr">
        <is>
          <t>SKÅNE LÄN</t>
        </is>
      </c>
      <c r="G419" t="inlineStr">
        <is>
          <t>ÖSTRA GÖINGE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7057-2026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46057</v>
      </c>
      <c r="E420" s="1" t="n">
        <v>46218</v>
      </c>
      <c r="F420" t="inlineStr">
        <is>
          <t>SKÅNE LÄN</t>
        </is>
      </c>
      <c r="G420" t="inlineStr">
        <is>
          <t>ÖSTRA GÖINGE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23599-2026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46218</v>
      </c>
      <c r="F421" t="inlineStr">
        <is>
          <t>SKÅNE LÄN</t>
        </is>
      </c>
      <c r="G421" t="inlineStr">
        <is>
          <t>ÖSTRA GÖINGE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7279-2026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46218</v>
      </c>
      <c r="F422" t="inlineStr">
        <is>
          <t>SKÅNE LÄN</t>
        </is>
      </c>
      <c r="G422" t="inlineStr">
        <is>
          <t>ÖSTRA GÖINGE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23596-2026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46218</v>
      </c>
      <c r="F423" t="inlineStr">
        <is>
          <t>SKÅNE LÄN</t>
        </is>
      </c>
      <c r="G423" t="inlineStr">
        <is>
          <t>ÖSTRA GÖINGE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29845-2026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46218</v>
      </c>
      <c r="F424" t="inlineStr">
        <is>
          <t>SKÅNE LÄN</t>
        </is>
      </c>
      <c r="G424" t="inlineStr">
        <is>
          <t>ÖSTRA GÖINGE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29859-2026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46218</v>
      </c>
      <c r="F425" t="inlineStr">
        <is>
          <t>SKÅNE LÄN</t>
        </is>
      </c>
      <c r="G425" t="inlineStr">
        <is>
          <t>ÖSTRA GÖINGE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29864-2026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46218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30111-2026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46206</v>
      </c>
      <c r="E427" s="1" t="n">
        <v>46218</v>
      </c>
      <c r="F427" t="inlineStr">
        <is>
          <t>SKÅNE LÄN</t>
        </is>
      </c>
      <c r="G427" t="inlineStr">
        <is>
          <t>ÖSTRA GÖINGE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23852-2026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46218</v>
      </c>
      <c r="F428" t="inlineStr">
        <is>
          <t>SKÅNE LÄN</t>
        </is>
      </c>
      <c r="G428" t="inlineStr">
        <is>
          <t>ÖSTRA GÖINGE</t>
        </is>
      </c>
      <c r="I428" t="n">
        <v>7.8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9081-2026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46069</v>
      </c>
      <c r="E429" s="1" t="n">
        <v>46218</v>
      </c>
      <c r="F429" t="inlineStr">
        <is>
          <t>SKÅNE LÄN</t>
        </is>
      </c>
      <c r="G429" t="inlineStr">
        <is>
          <t>ÖSTRA GÖINGE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11761-2026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46218</v>
      </c>
      <c r="F430" t="inlineStr">
        <is>
          <t>SKÅNE LÄN</t>
        </is>
      </c>
      <c r="G430" t="inlineStr">
        <is>
          <t>ÖSTRA GÖINGE</t>
        </is>
      </c>
      <c r="I430" t="n">
        <v>12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11762-2026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46218</v>
      </c>
      <c r="F431" t="inlineStr">
        <is>
          <t>SKÅNE LÄN</t>
        </is>
      </c>
      <c r="G431" t="inlineStr">
        <is>
          <t>ÖSTRA GÖINGE</t>
        </is>
      </c>
      <c r="I431" t="n">
        <v>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28619-2025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45819</v>
      </c>
      <c r="E432" s="1" t="n">
        <v>46218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35524-2025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45856</v>
      </c>
      <c r="E433" s="1" t="n">
        <v>46218</v>
      </c>
      <c r="F433" t="inlineStr">
        <is>
          <t>SKÅNE LÄN</t>
        </is>
      </c>
      <c r="G433" t="inlineStr">
        <is>
          <t>ÖSTRA GÖINGE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35527-2025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45856</v>
      </c>
      <c r="E434" s="1" t="n">
        <v>46218</v>
      </c>
      <c r="F434" t="inlineStr">
        <is>
          <t>SKÅNE LÄN</t>
        </is>
      </c>
      <c r="G434" t="inlineStr">
        <is>
          <t>ÖSTRA GÖINGE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31114-2026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46218</v>
      </c>
      <c r="F435" t="inlineStr">
        <is>
          <t>SKÅNE LÄN</t>
        </is>
      </c>
      <c r="G435" t="inlineStr">
        <is>
          <t>ÖSTRA GÖINGE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3445-2022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44585</v>
      </c>
      <c r="E436" s="1" t="n">
        <v>46218</v>
      </c>
      <c r="F436" t="inlineStr">
        <is>
          <t>SKÅNE LÄN</t>
        </is>
      </c>
      <c r="G436" t="inlineStr">
        <is>
          <t>ÖSTRA GÖINGE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15106-2026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46218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15104-2026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46218</v>
      </c>
      <c r="F438" t="inlineStr">
        <is>
          <t>SKÅNE LÄN</t>
        </is>
      </c>
      <c r="G438" t="inlineStr">
        <is>
          <t>ÖSTRA GÖINGE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19192-2026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46218</v>
      </c>
      <c r="F439" t="inlineStr">
        <is>
          <t>SKÅNE LÄN</t>
        </is>
      </c>
      <c r="G439" t="inlineStr">
        <is>
          <t>ÖSTRA GÖINGE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19297-2026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46218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19301-2026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46218</v>
      </c>
      <c r="F441" t="inlineStr">
        <is>
          <t>SKÅNE LÄN</t>
        </is>
      </c>
      <c r="G441" t="inlineStr">
        <is>
          <t>ÖSTRA GÖINGE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46218</v>
      </c>
      <c r="F442" t="inlineStr">
        <is>
          <t>SKÅNE LÄN</t>
        </is>
      </c>
      <c r="G442" t="inlineStr">
        <is>
          <t>ÖSTRA GÖINGE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19045-2026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46132</v>
      </c>
      <c r="E443" s="1" t="n">
        <v>46218</v>
      </c>
      <c r="F443" t="inlineStr">
        <is>
          <t>SKÅNE LÄN</t>
        </is>
      </c>
      <c r="G443" t="inlineStr">
        <is>
          <t>ÖSTRA GÖINGE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19302-2026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46218</v>
      </c>
      <c r="F444" t="inlineStr">
        <is>
          <t>SKÅNE LÄN</t>
        </is>
      </c>
      <c r="G444" t="inlineStr">
        <is>
          <t>ÖSTRA GÖINGE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19051-2026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46132</v>
      </c>
      <c r="E445" s="1" t="n">
        <v>46218</v>
      </c>
      <c r="F445" t="inlineStr">
        <is>
          <t>SKÅNE LÄN</t>
        </is>
      </c>
      <c r="G445" t="inlineStr">
        <is>
          <t>ÖSTRA GÖINGE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19236-2026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46218</v>
      </c>
      <c r="F446" t="inlineStr">
        <is>
          <t>SKÅNE LÄN</t>
        </is>
      </c>
      <c r="G446" t="inlineStr">
        <is>
          <t>ÖSTRA GÖINGE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19359-2026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46218</v>
      </c>
      <c r="F447" t="inlineStr">
        <is>
          <t>SKÅNE LÄN</t>
        </is>
      </c>
      <c r="G447" t="inlineStr">
        <is>
          <t>ÖSTRA GÖINGE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25389-2026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46218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28858-2025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45820</v>
      </c>
      <c r="E449" s="1" t="n">
        <v>46218</v>
      </c>
      <c r="F449" t="inlineStr">
        <is>
          <t>SKÅNE LÄN</t>
        </is>
      </c>
      <c r="G449" t="inlineStr">
        <is>
          <t>ÖSTRA GÖINGE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54973-2025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46218</v>
      </c>
      <c r="F450" t="inlineStr">
        <is>
          <t>SKÅNE LÄN</t>
        </is>
      </c>
      <c r="G450" t="inlineStr">
        <is>
          <t>ÖSTRA GÖINGE</t>
        </is>
      </c>
      <c r="H450" t="inlineStr">
        <is>
          <t>Sveaskog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49795-2025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45939</v>
      </c>
      <c r="E451" s="1" t="n">
        <v>46218</v>
      </c>
      <c r="F451" t="inlineStr">
        <is>
          <t>SKÅNE LÄN</t>
        </is>
      </c>
      <c r="G451" t="inlineStr">
        <is>
          <t>ÖSTRA GÖINGE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935-2026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46218</v>
      </c>
      <c r="F452" t="inlineStr">
        <is>
          <t>SKÅNE LÄN</t>
        </is>
      </c>
      <c r="G452" t="inlineStr">
        <is>
          <t>ÖSTRA GÖINGE</t>
        </is>
      </c>
      <c r="H452" t="inlineStr">
        <is>
          <t>Sveaskog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25824-2025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45804</v>
      </c>
      <c r="E453" s="1" t="n">
        <v>46218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46218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46218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46218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46218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46218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46218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46218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46218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46218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46218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46218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46218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46218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46218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46218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46218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46218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46218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46218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46218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6355-2021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44448</v>
      </c>
      <c r="E474" s="1" t="n">
        <v>46218</v>
      </c>
      <c r="F474" t="inlineStr">
        <is>
          <t>SKÅNE LÄN</t>
        </is>
      </c>
      <c r="G474" t="inlineStr">
        <is>
          <t>ÖSTRA GÖINGE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46218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46218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46218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450-2022</t>
        </is>
      </c>
      <c r="B478" t="inlineStr">
        <is>
          <t>samrådsanmälan</t>
        </is>
      </c>
      <c r="C478" t="inlineStr">
        <is>
          <t>Åtgärd i nyckelbiotop</t>
        </is>
      </c>
      <c r="D478" s="1" t="n">
        <v>44586</v>
      </c>
      <c r="E478" s="1" t="n">
        <v>46218</v>
      </c>
      <c r="F478" t="inlineStr">
        <is>
          <t>SKÅNE LÄN</t>
        </is>
      </c>
      <c r="G478" t="inlineStr">
        <is>
          <t>ÖSTRA GÖINGE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1223-2025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45761</v>
      </c>
      <c r="E479" s="1" t="n">
        <v>46218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1305-2025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45770</v>
      </c>
      <c r="E480" s="1" t="n">
        <v>46218</v>
      </c>
      <c r="F480" t="inlineStr">
        <is>
          <t>SKÅNE LÄN</t>
        </is>
      </c>
      <c r="G480" t="inlineStr">
        <is>
          <t>ÖSTRA GÖINGE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625-2025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45714</v>
      </c>
      <c r="E481" s="1" t="n">
        <v>46218</v>
      </c>
      <c r="F481" t="inlineStr">
        <is>
          <t>SKÅNE LÄN</t>
        </is>
      </c>
      <c r="G481" t="inlineStr">
        <is>
          <t>ÖSTRA GÖINGE</t>
        </is>
      </c>
      <c r="I481" t="n">
        <v>93.59999999999999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649-2025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45715</v>
      </c>
      <c r="E482" s="1" t="n">
        <v>46218</v>
      </c>
      <c r="F482" t="inlineStr">
        <is>
          <t>SKÅNE LÄN</t>
        </is>
      </c>
      <c r="G482" t="inlineStr">
        <is>
          <t>ÖSTRA GÖINGE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451-2025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45701</v>
      </c>
      <c r="E483" s="1" t="n">
        <v>46218</v>
      </c>
      <c r="F483" t="inlineStr">
        <is>
          <t>SKÅNE LÄN</t>
        </is>
      </c>
      <c r="G483" t="inlineStr">
        <is>
          <t>ÖSTRA GÖINGE</t>
        </is>
      </c>
      <c r="I483" t="n">
        <v>17.7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252-2025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45684</v>
      </c>
      <c r="E484" s="1" t="n">
        <v>46218</v>
      </c>
      <c r="F484" t="inlineStr">
        <is>
          <t>SKÅNE LÄN</t>
        </is>
      </c>
      <c r="G484" t="inlineStr">
        <is>
          <t>ÖSTRA GÖINGE</t>
        </is>
      </c>
      <c r="I484" t="n">
        <v>20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885-2025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45735</v>
      </c>
      <c r="E485" s="1" t="n">
        <v>46218</v>
      </c>
      <c r="F485" t="inlineStr">
        <is>
          <t>SKÅNE LÄN</t>
        </is>
      </c>
      <c r="G485" t="inlineStr">
        <is>
          <t>ÖSTRA GÖINGE</t>
        </is>
      </c>
      <c r="I485" t="n">
        <v>13.6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1703-2025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45805</v>
      </c>
      <c r="E486" s="1" t="n">
        <v>46218</v>
      </c>
      <c r="F486" t="inlineStr">
        <is>
          <t>SKÅNE LÄN</t>
        </is>
      </c>
      <c r="G486" t="inlineStr">
        <is>
          <t>ÖSTRA GÖINGE</t>
        </is>
      </c>
      <c r="I486" t="n">
        <v>21.2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2712-2025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46218</v>
      </c>
      <c r="F487" t="inlineStr">
        <is>
          <t>SKÅNE LÄN</t>
        </is>
      </c>
      <c r="G487" t="inlineStr">
        <is>
          <t>ÖSTRA GÖINGE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2711-2025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45930</v>
      </c>
      <c r="E488" s="1" t="n">
        <v>46218</v>
      </c>
      <c r="F488" t="inlineStr">
        <is>
          <t>SKÅNE LÄN</t>
        </is>
      </c>
      <c r="G488" t="inlineStr">
        <is>
          <t>ÖSTRA GÖINGE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3154-2025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46218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S 3153-2025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45973</v>
      </c>
      <c r="E490" s="1" t="n">
        <v>46218</v>
      </c>
      <c r="F490" t="inlineStr">
        <is>
          <t>SKÅNE LÄN</t>
        </is>
      </c>
      <c r="G490" t="inlineStr">
        <is>
          <t>ÖSTRA GÖINGE</t>
        </is>
      </c>
      <c r="H490" t="inlineStr">
        <is>
          <t>Sveaskog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S 31-2026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46218</v>
      </c>
      <c r="F491" t="inlineStr">
        <is>
          <t>SKÅNE LÄN</t>
        </is>
      </c>
      <c r="G491" t="inlineStr">
        <is>
          <t>ÖSTRA GÖINGE</t>
        </is>
      </c>
      <c r="I491" t="n">
        <v>14.3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S 30-2026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46030</v>
      </c>
      <c r="E492" s="1" t="n">
        <v>46218</v>
      </c>
      <c r="F492" t="inlineStr">
        <is>
          <t>SKÅNE LÄN</t>
        </is>
      </c>
      <c r="G492" t="inlineStr">
        <is>
          <t>ÖSTRA GÖINGE</t>
        </is>
      </c>
      <c r="I492" t="n">
        <v>16.4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S 509-2026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46077</v>
      </c>
      <c r="E493" s="1" t="n">
        <v>46218</v>
      </c>
      <c r="F493" t="inlineStr">
        <is>
          <t>SKÅNE LÄN</t>
        </is>
      </c>
      <c r="G493" t="inlineStr">
        <is>
          <t>ÖSTRA GÖINGE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S 816-2026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46104</v>
      </c>
      <c r="E494" s="1" t="n">
        <v>46218</v>
      </c>
      <c r="F494" t="inlineStr">
        <is>
          <t>SKÅNE LÄN</t>
        </is>
      </c>
      <c r="G494" t="inlineStr">
        <is>
          <t>ÖSTRA GÖINGE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>
      <c r="A495" t="inlineStr">
        <is>
          <t>S 1410-2026</t>
        </is>
      </c>
      <c r="B495" t="inlineStr">
        <is>
          <t>samrådsanmälan</t>
        </is>
      </c>
      <c r="C495" t="inlineStr">
        <is>
          <t>Askåterföring</t>
        </is>
      </c>
      <c r="D495" s="1" t="n">
        <v>46155</v>
      </c>
      <c r="E495" s="1" t="n">
        <v>46218</v>
      </c>
      <c r="F495" t="inlineStr">
        <is>
          <t>SKÅNE LÄN</t>
        </is>
      </c>
      <c r="G495" t="inlineStr">
        <is>
          <t>ÖSTRA GÖINGE</t>
        </is>
      </c>
      <c r="I495" t="n">
        <v>18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2026-07-15T01:25:20Z</dcterms:created>
  <dcterms:modified xmlns:dcterms="http://purl.org/dc/terms/" xmlns:xsi="http://www.w3.org/2001/XMLSchema-instance" xsi:type="dcterms:W3CDTF">2026-07-15T01:25:20Z</dcterms:modified>
</cp:coreProperties>
</file>