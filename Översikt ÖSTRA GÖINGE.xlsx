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46235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46235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46235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46235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46235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46235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46235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46235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46235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46235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46235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46235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46235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46235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46235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46235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34389-2024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46235</v>
      </c>
      <c r="F18" t="inlineStr">
        <is>
          <t>SKÅNE LÄN</t>
        </is>
      </c>
      <c r="G18" t="inlineStr">
        <is>
          <t>ÖSTRA GÖINGE</t>
        </is>
      </c>
      <c r="I18" t="n">
        <v>1.3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Pulverädellav
Havstulpanlav</t>
        </is>
      </c>
      <c r="W18">
        <f>HYPERLINK("https://klasma.github.io/Logging_1256/artfynd/A 34389-2024 artfynd.xlsx", "A 34389-2024")</f>
        <v/>
      </c>
      <c r="X18">
        <f>HYPERLINK("https://klasma.github.io/Logging_1256/kartor/A 34389-2024 karta.png", "A 34389-2024")</f>
        <v/>
      </c>
      <c r="Y18">
        <f>HYPERLINK("https://klasma.github.io/Logging_1256/kartor_geotiff/A 34389-2024 georefererad karta.tif", "A 34389-2024")</f>
        <v/>
      </c>
      <c r="AA18">
        <f>HYPERLINK("https://klasma.github.io/Logging_1256/klagomål/A 34389-2024 FSC-klagomål.docx", "A 34389-2024")</f>
        <v/>
      </c>
      <c r="AB18">
        <f>HYPERLINK("https://klasma.github.io/Logging_1256/klagomålsmail/A 34389-2024 FSC-klagomål mail.docx", "A 34389-2024")</f>
        <v/>
      </c>
      <c r="AC18">
        <f>HYPERLINK("https://klasma.github.io/Logging_1256/tillsyn/A 34389-2024 tillsynsbegäran.docx", "A 34389-2024")</f>
        <v/>
      </c>
      <c r="AD18">
        <f>HYPERLINK("https://klasma.github.io/Logging_1256/tillsynsmail/A 34389-2024 tillsynsbegäran mail.docx", "A 34389-2024")</f>
        <v/>
      </c>
    </row>
    <row r="19" ht="15" customHeight="1">
      <c r="A19" t="inlineStr">
        <is>
          <t>A 37585-2024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46235</v>
      </c>
      <c r="F19" t="inlineStr">
        <is>
          <t>SKÅNE LÄN</t>
        </is>
      </c>
      <c r="G19" t="inlineStr">
        <is>
          <t>ÖSTRA GÖINGE</t>
        </is>
      </c>
      <c r="I19" t="n">
        <v>22.7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Gullklöver
Fläcknycklar</t>
        </is>
      </c>
      <c r="W19">
        <f>HYPERLINK("https://klasma.github.io/Logging_1256/artfynd/A 37585-2024 artfynd.xlsx", "A 37585-2024")</f>
        <v/>
      </c>
      <c r="X19">
        <f>HYPERLINK("https://klasma.github.io/Logging_1256/kartor/A 37585-2024 karta.png", "A 37585-2024")</f>
        <v/>
      </c>
      <c r="Y19">
        <f>HYPERLINK("https://klasma.github.io/Logging_1256/kartor_geotiff/A 37585-2024 georefererad karta.tif", "A 37585-2024")</f>
        <v/>
      </c>
      <c r="AA19">
        <f>HYPERLINK("https://klasma.github.io/Logging_1256/klagomål/A 37585-2024 FSC-klagomål.docx", "A 37585-2024")</f>
        <v/>
      </c>
      <c r="AB19">
        <f>HYPERLINK("https://klasma.github.io/Logging_1256/klagomålsmail/A 37585-2024 FSC-klagomål mail.docx", "A 37585-2024")</f>
        <v/>
      </c>
      <c r="AC19">
        <f>HYPERLINK("https://klasma.github.io/Logging_1256/tillsyn/A 37585-2024 tillsynsbegäran.docx", "A 37585-2024")</f>
        <v/>
      </c>
      <c r="AD19">
        <f>HYPERLINK("https://klasma.github.io/Logging_1256/tillsynsmail/A 37585-2024 tillsynsbegäran mail.docx", "A 37585-2024")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46235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23405-2023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46235</v>
      </c>
      <c r="F21" t="inlineStr">
        <is>
          <t>SKÅNE LÄN</t>
        </is>
      </c>
      <c r="G21" t="inlineStr">
        <is>
          <t>ÖSTRA GÖINGE</t>
        </is>
      </c>
      <c r="I21" t="n">
        <v>2.2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Vanlig padda</t>
        </is>
      </c>
      <c r="W21">
        <f>HYPERLINK("https://klasma.github.io/Logging_1256/artfynd/A 23405-2023 artfynd.xlsx", "A 23405-2023")</f>
        <v/>
      </c>
      <c r="X21">
        <f>HYPERLINK("https://klasma.github.io/Logging_1256/kartor/A 23405-2023 karta.png", "A 23405-2023")</f>
        <v/>
      </c>
      <c r="Y21">
        <f>HYPERLINK("https://klasma.github.io/Logging_1256/kartor_geotiff/A 23405-2023 georefererad karta.tif", "A 23405-2023")</f>
        <v/>
      </c>
      <c r="AA21">
        <f>HYPERLINK("https://klasma.github.io/Logging_1256/klagomål/A 23405-2023 FSC-klagomål.docx", "A 23405-2023")</f>
        <v/>
      </c>
      <c r="AB21">
        <f>HYPERLINK("https://klasma.github.io/Logging_1256/klagomålsmail/A 23405-2023 FSC-klagomål mail.docx", "A 23405-2023")</f>
        <v/>
      </c>
      <c r="AC21">
        <f>HYPERLINK("https://klasma.github.io/Logging_1256/tillsyn/A 23405-2023 tillsynsbegäran.docx", "A 23405-2023")</f>
        <v/>
      </c>
      <c r="AD21">
        <f>HYPERLINK("https://klasma.github.io/Logging_1256/tillsynsmail/A 23405-2023 tillsynsbegäran mail.docx", "A 23405-2023")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46235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46205</v>
      </c>
      <c r="E23" s="1" t="n">
        <v>46235</v>
      </c>
      <c r="F23" t="inlineStr">
        <is>
          <t>SKÅNE LÄN</t>
        </is>
      </c>
      <c r="G23" t="inlineStr">
        <is>
          <t>ÖSTRA GÖINGE</t>
        </is>
      </c>
      <c r="I23" t="n">
        <v>5.5</v>
      </c>
      <c r="J23" t="n">
        <v>0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Skogsalm
Tibast</t>
        </is>
      </c>
      <c r="W23">
        <f>HYPERLINK("https://klasma.github.io/Logging_1256/artfynd/A 30000-2026 artfynd.xlsx", "A 30000-2026")</f>
        <v/>
      </c>
      <c r="X23">
        <f>HYPERLINK("https://klasma.github.io/Logging_1256/kartor/A 30000-2026 karta.png", "A 30000-2026")</f>
        <v/>
      </c>
      <c r="Y23">
        <f>HYPERLINK("https://klasma.github.io/Logging_1256/kartor_geotiff/A 30000-2026 georefererad karta.tif", "A 30000-2026")</f>
        <v/>
      </c>
      <c r="AA23">
        <f>HYPERLINK("https://klasma.github.io/Logging_1256/klagomål/A 30000-2026 FSC-klagomål.docx", "A 30000-2026")</f>
        <v/>
      </c>
      <c r="AB23">
        <f>HYPERLINK("https://klasma.github.io/Logging_1256/klagomålsmail/A 30000-2026 FSC-klagomål mail.docx", "A 30000-2026")</f>
        <v/>
      </c>
      <c r="AC23">
        <f>HYPERLINK("https://klasma.github.io/Logging_1256/tillsyn/A 30000-2026 tillsynsbegäran.docx", "A 30000-2026")</f>
        <v/>
      </c>
      <c r="AD23">
        <f>HYPERLINK("https://klasma.github.io/Logging_1256/tillsynsmail/A 30000-2026 tillsynsbegäran mail.docx", "A 30000-2026")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46235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46235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46235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46235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46235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46235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46235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46235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46235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46235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46235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46235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46235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46235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46235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4251-2023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46235</v>
      </c>
      <c r="F39" t="inlineStr">
        <is>
          <t>SKÅNE LÄN</t>
        </is>
      </c>
      <c r="G39" t="inlineStr">
        <is>
          <t>ÖSTRA GÖINGE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HYPERLINK("https://klasma.github.io/Logging_1256/artfynd/A 4251-2023 artfynd.xlsx", "A 4251-2023")</f>
        <v/>
      </c>
      <c r="X39">
        <f>HYPERLINK("https://klasma.github.io/Logging_1256/kartor/A 4251-2023 karta.png", "A 4251-2023")</f>
        <v/>
      </c>
      <c r="Y39">
        <f>HYPERLINK("https://klasma.github.io/Logging_1256/kartor_geotiff/A 4251-2023 georefererad karta.tif", "A 4251-2023")</f>
        <v/>
      </c>
      <c r="AA39">
        <f>HYPERLINK("https://klasma.github.io/Logging_1256/klagomål/A 4251-2023 FSC-klagomål.docx", "A 4251-2023")</f>
        <v/>
      </c>
      <c r="AB39">
        <f>HYPERLINK("https://klasma.github.io/Logging_1256/klagomålsmail/A 4251-2023 FSC-klagomål mail.docx", "A 4251-2023")</f>
        <v/>
      </c>
      <c r="AC39">
        <f>HYPERLINK("https://klasma.github.io/Logging_1256/tillsyn/A 4251-2023 tillsynsbegäran.docx", "A 4251-2023")</f>
        <v/>
      </c>
      <c r="AD39">
        <f>HYPERLINK("https://klasma.github.io/Logging_1256/tillsynsmail/A 4251-2023 tillsynsbegäran mail.docx", "A 4251-2023")</f>
        <v/>
      </c>
    </row>
    <row r="40" ht="15" customHeight="1">
      <c r="A40" t="inlineStr">
        <is>
          <t>A 62060-2022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46235</v>
      </c>
      <c r="F40" t="inlineStr">
        <is>
          <t>SKÅNE LÄN</t>
        </is>
      </c>
      <c r="G40" t="inlineStr">
        <is>
          <t>ÖSTRA GÖINGE</t>
        </is>
      </c>
      <c r="I40" t="n">
        <v>2.7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Desmeknopp</t>
        </is>
      </c>
      <c r="W40">
        <f>HYPERLINK("https://klasma.github.io/Logging_1256/artfynd/A 62060-2022 artfynd.xlsx", "A 62060-2022")</f>
        <v/>
      </c>
      <c r="X40">
        <f>HYPERLINK("https://klasma.github.io/Logging_1256/kartor/A 62060-2022 karta.png", "A 62060-2022")</f>
        <v/>
      </c>
      <c r="Y40">
        <f>HYPERLINK("https://klasma.github.io/Logging_1256/kartor_geotiff/A 62060-2022 georefererad karta.tif", "A 62060-2022")</f>
        <v/>
      </c>
      <c r="AA40">
        <f>HYPERLINK("https://klasma.github.io/Logging_1256/klagomål/A 62060-2022 FSC-klagomål.docx", "A 62060-2022")</f>
        <v/>
      </c>
      <c r="AB40">
        <f>HYPERLINK("https://klasma.github.io/Logging_1256/klagomålsmail/A 62060-2022 FSC-klagomål mail.docx", "A 62060-2022")</f>
        <v/>
      </c>
      <c r="AC40">
        <f>HYPERLINK("https://klasma.github.io/Logging_1256/tillsyn/A 62060-2022 tillsynsbegäran.docx", "A 62060-2022")</f>
        <v/>
      </c>
      <c r="AD40">
        <f>HYPERLINK("https://klasma.github.io/Logging_1256/tillsynsmail/A 62060-2022 tillsynsbegäran mail.docx", "A 62060-2022")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46235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46235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46235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46235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46235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23400-2023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46235</v>
      </c>
      <c r="F46" t="inlineStr">
        <is>
          <t>SKÅNE LÄN</t>
        </is>
      </c>
      <c r="G46" t="inlineStr">
        <is>
          <t>ÖSTRA GÖINGE</t>
        </is>
      </c>
      <c r="I46" t="n">
        <v>5.1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HYPERLINK("https://klasma.github.io/Logging_1256/artfynd/A 23400-2023 artfynd.xlsx", "A 23400-2023")</f>
        <v/>
      </c>
      <c r="X46">
        <f>HYPERLINK("https://klasma.github.io/Logging_1256/kartor/A 23400-2023 karta.png", "A 23400-2023")</f>
        <v/>
      </c>
      <c r="Y46">
        <f>HYPERLINK("https://klasma.github.io/Logging_1256/kartor_geotiff/A 23400-2023 georefererad karta.tif", "A 23400-2023")</f>
        <v/>
      </c>
      <c r="AA46">
        <f>HYPERLINK("https://klasma.github.io/Logging_1256/klagomål/A 23400-2023 FSC-klagomål.docx", "A 23400-2023")</f>
        <v/>
      </c>
      <c r="AB46">
        <f>HYPERLINK("https://klasma.github.io/Logging_1256/klagomålsmail/A 23400-2023 FSC-klagomål mail.docx", "A 23400-2023")</f>
        <v/>
      </c>
      <c r="AC46">
        <f>HYPERLINK("https://klasma.github.io/Logging_1256/tillsyn/A 23400-2023 tillsynsbegäran.docx", "A 23400-2023")</f>
        <v/>
      </c>
      <c r="AD46">
        <f>HYPERLINK("https://klasma.github.io/Logging_1256/tillsynsmail/A 23400-2023 tillsynsbegäran mail.docx", "A 23400-2023")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46235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35526-2025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46235</v>
      </c>
      <c r="F48" t="inlineStr">
        <is>
          <t>SKÅNE LÄN</t>
        </is>
      </c>
      <c r="G48" t="inlineStr">
        <is>
          <t>ÖSTRA GÖINGE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Bokvårtlav</t>
        </is>
      </c>
      <c r="W48">
        <f>HYPERLINK("https://klasma.github.io/Logging_1256/artfynd/A 35526-2025 artfynd.xlsx", "A 35526-2025")</f>
        <v/>
      </c>
      <c r="X48">
        <f>HYPERLINK("https://klasma.github.io/Logging_1256/kartor/A 35526-2025 karta.png", "A 35526-2025")</f>
        <v/>
      </c>
      <c r="Y48">
        <f>HYPERLINK("https://klasma.github.io/Logging_1256/kartor_geotiff/A 35526-2025 georefererad karta.tif", "A 35526-2025")</f>
        <v/>
      </c>
      <c r="AA48">
        <f>HYPERLINK("https://klasma.github.io/Logging_1256/klagomål/A 35526-2025 FSC-klagomål.docx", "A 35526-2025")</f>
        <v/>
      </c>
      <c r="AB48">
        <f>HYPERLINK("https://klasma.github.io/Logging_1256/klagomålsmail/A 35526-2025 FSC-klagomål mail.docx", "A 35526-2025")</f>
        <v/>
      </c>
      <c r="AC48">
        <f>HYPERLINK("https://klasma.github.io/Logging_1256/tillsyn/A 35526-2025 tillsynsbegäran.docx", "A 35526-2025")</f>
        <v/>
      </c>
      <c r="AD48">
        <f>HYPERLINK("https://klasma.github.io/Logging_1256/tillsynsmail/A 35526-2025 tillsynsbegäran mail.docx", "A 35526-2025")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46235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46235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46235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46235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46235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46235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46235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46235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46235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46235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46235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46235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46235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46235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46235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46235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46235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46235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46235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46235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46235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46235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46235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46235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46235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46235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46235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46235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46235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46235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46235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46235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46235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46235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46235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46235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46235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46235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46235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46235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46235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46235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46235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46235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46235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46235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46235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46235</v>
      </c>
      <c r="F96" t="inlineStr">
        <is>
          <t>SKÅNE LÄN</t>
        </is>
      </c>
      <c r="G96" t="inlineStr">
        <is>
          <t>ÖSTRA GÖINGE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46235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46235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46235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46235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46235</v>
      </c>
      <c r="F101" t="inlineStr">
        <is>
          <t>SKÅNE LÄN</t>
        </is>
      </c>
      <c r="G101" t="inlineStr">
        <is>
          <t>ÖSTRA GÖINGE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46235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46235</v>
      </c>
      <c r="F103" t="inlineStr">
        <is>
          <t>SKÅNE LÄN</t>
        </is>
      </c>
      <c r="G103" t="inlineStr">
        <is>
          <t>ÖSTRA GÖINGE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44531</v>
      </c>
      <c r="E104" s="1" t="n">
        <v>46235</v>
      </c>
      <c r="F104" t="inlineStr">
        <is>
          <t>SKÅNE LÄN</t>
        </is>
      </c>
      <c r="G104" t="inlineStr">
        <is>
          <t>ÖSTRA GÖINGE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46235</v>
      </c>
      <c r="F105" t="inlineStr">
        <is>
          <t>SKÅNE LÄN</t>
        </is>
      </c>
      <c r="G105" t="inlineStr">
        <is>
          <t>ÖSTRA GÖINGE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46235</v>
      </c>
      <c r="F106" t="inlineStr">
        <is>
          <t>SKÅNE LÄN</t>
        </is>
      </c>
      <c r="G106" t="inlineStr">
        <is>
          <t>ÖSTRA GÖINGE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46235</v>
      </c>
      <c r="F107" t="inlineStr">
        <is>
          <t>SKÅNE LÄN</t>
        </is>
      </c>
      <c r="G107" t="inlineStr">
        <is>
          <t>ÖSTRA GÖINGE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44623</v>
      </c>
      <c r="E108" s="1" t="n">
        <v>46235</v>
      </c>
      <c r="F108" t="inlineStr">
        <is>
          <t>SKÅNE LÄN</t>
        </is>
      </c>
      <c r="G108" t="inlineStr">
        <is>
          <t>ÖSTRA GÖINGE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44727</v>
      </c>
      <c r="E109" s="1" t="n">
        <v>46235</v>
      </c>
      <c r="F109" t="inlineStr">
        <is>
          <t>SKÅNE LÄN</t>
        </is>
      </c>
      <c r="G109" t="inlineStr">
        <is>
          <t>ÖSTRA GÖINGE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44700</v>
      </c>
      <c r="E110" s="1" t="n">
        <v>46235</v>
      </c>
      <c r="F110" t="inlineStr">
        <is>
          <t>SKÅNE LÄN</t>
        </is>
      </c>
      <c r="G110" t="inlineStr">
        <is>
          <t>ÖSTRA GÖINGE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46235</v>
      </c>
      <c r="F111" t="inlineStr">
        <is>
          <t>SKÅNE LÄN</t>
        </is>
      </c>
      <c r="G111" t="inlineStr">
        <is>
          <t>ÖSTRA GÖINGE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46235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46235</v>
      </c>
      <c r="F113" t="inlineStr">
        <is>
          <t>SKÅNE LÄN</t>
        </is>
      </c>
      <c r="G113" t="inlineStr">
        <is>
          <t>ÖSTRA GÖINGE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46235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46235</v>
      </c>
      <c r="F115" t="inlineStr">
        <is>
          <t>SKÅNE LÄN</t>
        </is>
      </c>
      <c r="G115" t="inlineStr">
        <is>
          <t>ÖSTRA GÖINGE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46235</v>
      </c>
      <c r="F116" t="inlineStr">
        <is>
          <t>SKÅNE LÄN</t>
        </is>
      </c>
      <c r="G116" t="inlineStr">
        <is>
          <t>ÖSTRA GÖINGE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45278</v>
      </c>
      <c r="E117" s="1" t="n">
        <v>46235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46235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46235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46235</v>
      </c>
      <c r="F120" t="inlineStr">
        <is>
          <t>SKÅNE LÄN</t>
        </is>
      </c>
      <c r="G120" t="inlineStr">
        <is>
          <t>ÖSTRA GÖINGE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46235</v>
      </c>
      <c r="F121" t="inlineStr">
        <is>
          <t>SKÅNE LÄN</t>
        </is>
      </c>
      <c r="G121" t="inlineStr">
        <is>
          <t>ÖSTRA GÖINGE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45227</v>
      </c>
      <c r="E122" s="1" t="n">
        <v>46235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46235</v>
      </c>
      <c r="F123" t="inlineStr">
        <is>
          <t>SKÅNE LÄN</t>
        </is>
      </c>
      <c r="G123" t="inlineStr">
        <is>
          <t>ÖSTRA GÖINGE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46235</v>
      </c>
      <c r="F124" t="inlineStr">
        <is>
          <t>SKÅNE LÄN</t>
        </is>
      </c>
      <c r="G124" t="inlineStr">
        <is>
          <t>ÖSTRA GÖINGE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46235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46235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46235</v>
      </c>
      <c r="F127" t="inlineStr">
        <is>
          <t>SKÅNE LÄN</t>
        </is>
      </c>
      <c r="G127" t="inlineStr">
        <is>
          <t>ÖSTRA GÖINGE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46235</v>
      </c>
      <c r="F128" t="inlineStr">
        <is>
          <t>SKÅNE LÄN</t>
        </is>
      </c>
      <c r="G128" t="inlineStr">
        <is>
          <t>ÖSTRA GÖINGE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46235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46235</v>
      </c>
      <c r="F130" t="inlineStr">
        <is>
          <t>SKÅNE LÄN</t>
        </is>
      </c>
      <c r="G130" t="inlineStr">
        <is>
          <t>ÖSTRA GÖINGE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46235</v>
      </c>
      <c r="F131" t="inlineStr">
        <is>
          <t>SKÅNE LÄN</t>
        </is>
      </c>
      <c r="G131" t="inlineStr">
        <is>
          <t>ÖSTRA GÖINGE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46235</v>
      </c>
      <c r="F132" t="inlineStr">
        <is>
          <t>SKÅNE LÄN</t>
        </is>
      </c>
      <c r="G132" t="inlineStr">
        <is>
          <t>ÖSTRA GÖINGE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46235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46235</v>
      </c>
      <c r="F134" t="inlineStr">
        <is>
          <t>SKÅNE LÄN</t>
        </is>
      </c>
      <c r="G134" t="inlineStr">
        <is>
          <t>ÖSTRA GÖINGE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46235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45316</v>
      </c>
      <c r="E136" s="1" t="n">
        <v>46235</v>
      </c>
      <c r="F136" t="inlineStr">
        <is>
          <t>SKÅNE LÄN</t>
        </is>
      </c>
      <c r="G136" t="inlineStr">
        <is>
          <t>ÖSTRA GÖINGE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46235</v>
      </c>
      <c r="F137" t="inlineStr">
        <is>
          <t>SKÅNE LÄN</t>
        </is>
      </c>
      <c r="G137" t="inlineStr">
        <is>
          <t>ÖSTRA GÖINGE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74142-2021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44557</v>
      </c>
      <c r="E138" s="1" t="n">
        <v>46235</v>
      </c>
      <c r="F138" t="inlineStr">
        <is>
          <t>SKÅNE LÄN</t>
        </is>
      </c>
      <c r="G138" t="inlineStr">
        <is>
          <t>ÖSTRA GÖINGE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44438</v>
      </c>
      <c r="E139" s="1" t="n">
        <v>46235</v>
      </c>
      <c r="F139" t="inlineStr">
        <is>
          <t>SKÅNE LÄN</t>
        </is>
      </c>
      <c r="G139" t="inlineStr">
        <is>
          <t>ÖSTRA GÖINGE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46235</v>
      </c>
      <c r="F140" t="inlineStr">
        <is>
          <t>SKÅNE LÄN</t>
        </is>
      </c>
      <c r="G140" t="inlineStr">
        <is>
          <t>ÖSTRA GÖINGE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46235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46235</v>
      </c>
      <c r="F142" t="inlineStr">
        <is>
          <t>SKÅNE LÄN</t>
        </is>
      </c>
      <c r="G142" t="inlineStr">
        <is>
          <t>ÖSTRA GÖINGE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46235</v>
      </c>
      <c r="F143" t="inlineStr">
        <is>
          <t>SKÅNE LÄN</t>
        </is>
      </c>
      <c r="G143" t="inlineStr">
        <is>
          <t>ÖSTRA GÖINGE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46235</v>
      </c>
      <c r="F144" t="inlineStr">
        <is>
          <t>SKÅNE LÄN</t>
        </is>
      </c>
      <c r="G144" t="inlineStr">
        <is>
          <t>ÖSTRA GÖINGE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45410</v>
      </c>
      <c r="E145" s="1" t="n">
        <v>46235</v>
      </c>
      <c r="F145" t="inlineStr">
        <is>
          <t>SKÅNE LÄN</t>
        </is>
      </c>
      <c r="G145" t="inlineStr">
        <is>
          <t>ÖSTRA GÖINGE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46235</v>
      </c>
      <c r="F146" t="inlineStr">
        <is>
          <t>SKÅNE LÄN</t>
        </is>
      </c>
      <c r="G146" t="inlineStr">
        <is>
          <t>ÖSTRA GÖINGE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46235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46235</v>
      </c>
      <c r="F148" t="inlineStr">
        <is>
          <t>SKÅNE LÄN</t>
        </is>
      </c>
      <c r="G148" t="inlineStr">
        <is>
          <t>ÖSTRA GÖINGE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46235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46235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46235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46235</v>
      </c>
      <c r="F152" t="inlineStr">
        <is>
          <t>SKÅNE LÄN</t>
        </is>
      </c>
      <c r="G152" t="inlineStr">
        <is>
          <t>ÖSTRA GÖINGE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46235</v>
      </c>
      <c r="F153" t="inlineStr">
        <is>
          <t>SKÅNE LÄN</t>
        </is>
      </c>
      <c r="G153" t="inlineStr">
        <is>
          <t>ÖSTRA GÖINGE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46235</v>
      </c>
      <c r="F154" t="inlineStr">
        <is>
          <t>SKÅNE LÄN</t>
        </is>
      </c>
      <c r="G154" t="inlineStr">
        <is>
          <t>ÖSTRA GÖINGE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46235</v>
      </c>
      <c r="F155" t="inlineStr">
        <is>
          <t>SKÅNE LÄN</t>
        </is>
      </c>
      <c r="G155" t="inlineStr">
        <is>
          <t>ÖSTRA GÖINGE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46235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46235</v>
      </c>
      <c r="F157" t="inlineStr">
        <is>
          <t>SKÅNE LÄN</t>
        </is>
      </c>
      <c r="G157" t="inlineStr">
        <is>
          <t>ÖSTRA GÖINGE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46235</v>
      </c>
      <c r="F158" t="inlineStr">
        <is>
          <t>SKÅNE LÄN</t>
        </is>
      </c>
      <c r="G158" t="inlineStr">
        <is>
          <t>ÖSTRA GÖINGE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46235</v>
      </c>
      <c r="F159" t="inlineStr">
        <is>
          <t>SKÅNE LÄN</t>
        </is>
      </c>
      <c r="G159" t="inlineStr">
        <is>
          <t>ÖSTRA GÖINGE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46235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46235</v>
      </c>
      <c r="F161" t="inlineStr">
        <is>
          <t>SKÅNE LÄN</t>
        </is>
      </c>
      <c r="G161" t="inlineStr">
        <is>
          <t>ÖSTRA GÖINGE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46235</v>
      </c>
      <c r="F162" t="inlineStr">
        <is>
          <t>SKÅNE LÄN</t>
        </is>
      </c>
      <c r="G162" t="inlineStr">
        <is>
          <t>ÖSTRA GÖINGE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46235</v>
      </c>
      <c r="F163" t="inlineStr">
        <is>
          <t>SKÅNE LÄN</t>
        </is>
      </c>
      <c r="G163" t="inlineStr">
        <is>
          <t>ÖSTRA GÖINGE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46235</v>
      </c>
      <c r="F164" t="inlineStr">
        <is>
          <t>SKÅNE LÄN</t>
        </is>
      </c>
      <c r="G164" t="inlineStr">
        <is>
          <t>ÖSTRA GÖINGE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46235</v>
      </c>
      <c r="F165" t="inlineStr">
        <is>
          <t>SKÅNE LÄN</t>
        </is>
      </c>
      <c r="G165" t="inlineStr">
        <is>
          <t>ÖSTRA GÖINGE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46235</v>
      </c>
      <c r="F166" t="inlineStr">
        <is>
          <t>SKÅNE LÄN</t>
        </is>
      </c>
      <c r="G166" t="inlineStr">
        <is>
          <t>ÖSTRA GÖINGE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46235</v>
      </c>
      <c r="F167" t="inlineStr">
        <is>
          <t>SKÅNE LÄN</t>
        </is>
      </c>
      <c r="G167" t="inlineStr">
        <is>
          <t>ÖSTRA GÖINGE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46235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46235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46235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46235</v>
      </c>
      <c r="F171" t="inlineStr">
        <is>
          <t>SKÅNE LÄN</t>
        </is>
      </c>
      <c r="G171" t="inlineStr">
        <is>
          <t>ÖSTRA GÖINGE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45568</v>
      </c>
      <c r="E172" s="1" t="n">
        <v>46235</v>
      </c>
      <c r="F172" t="inlineStr">
        <is>
          <t>SKÅNE LÄN</t>
        </is>
      </c>
      <c r="G172" t="inlineStr">
        <is>
          <t>ÖSTRA GÖINGE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34931-2023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45142</v>
      </c>
      <c r="E173" s="1" t="n">
        <v>46235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46235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46235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46235</v>
      </c>
      <c r="F176" t="inlineStr">
        <is>
          <t>SKÅNE LÄN</t>
        </is>
      </c>
      <c r="G176" t="inlineStr">
        <is>
          <t>ÖSTRA GÖINGE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46235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46235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46235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46235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46235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46235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46235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46235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46235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46235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46235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46235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46235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46235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46235</v>
      </c>
      <c r="F191" t="inlineStr">
        <is>
          <t>SKÅNE LÄN</t>
        </is>
      </c>
      <c r="G191" t="inlineStr">
        <is>
          <t>ÖSTRA GÖINGE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46235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46235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45076</v>
      </c>
      <c r="E194" s="1" t="n">
        <v>46235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46235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46147</v>
      </c>
      <c r="E196" s="1" t="n">
        <v>46235</v>
      </c>
      <c r="F196" t="inlineStr">
        <is>
          <t>SKÅNE LÄN</t>
        </is>
      </c>
      <c r="G196" t="inlineStr">
        <is>
          <t>ÖSTRA GÖINGE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46235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46235</v>
      </c>
      <c r="F198" t="inlineStr">
        <is>
          <t>SKÅNE LÄN</t>
        </is>
      </c>
      <c r="G198" t="inlineStr">
        <is>
          <t>ÖSTRA GÖINGE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46235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46235</v>
      </c>
      <c r="F200" t="inlineStr">
        <is>
          <t>SKÅNE LÄN</t>
        </is>
      </c>
      <c r="G200" t="inlineStr">
        <is>
          <t>ÖSTRA GÖINGE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45029</v>
      </c>
      <c r="E201" s="1" t="n">
        <v>46235</v>
      </c>
      <c r="F201" t="inlineStr">
        <is>
          <t>SKÅNE LÄN</t>
        </is>
      </c>
      <c r="G201" t="inlineStr">
        <is>
          <t>ÖSTRA GÖINGE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46235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46235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46235</v>
      </c>
      <c r="F204" t="inlineStr">
        <is>
          <t>SKÅNE LÄN</t>
        </is>
      </c>
      <c r="G204" t="inlineStr">
        <is>
          <t>ÖSTRA GÖINGE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46235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46235</v>
      </c>
      <c r="F206" t="inlineStr">
        <is>
          <t>SKÅNE LÄN</t>
        </is>
      </c>
      <c r="G206" t="inlineStr">
        <is>
          <t>ÖSTRA GÖINGE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46235</v>
      </c>
      <c r="F207" t="inlineStr">
        <is>
          <t>SKÅNE LÄN</t>
        </is>
      </c>
      <c r="G207" t="inlineStr">
        <is>
          <t>ÖSTRA GÖINGE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46235</v>
      </c>
      <c r="F208" t="inlineStr">
        <is>
          <t>SKÅNE LÄN</t>
        </is>
      </c>
      <c r="G208" t="inlineStr">
        <is>
          <t>ÖSTRA GÖINGE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46235</v>
      </c>
      <c r="F209" t="inlineStr">
        <is>
          <t>SKÅNE LÄN</t>
        </is>
      </c>
      <c r="G209" t="inlineStr">
        <is>
          <t>ÖSTRA GÖINGE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46235</v>
      </c>
      <c r="F210" t="inlineStr">
        <is>
          <t>SKÅNE LÄN</t>
        </is>
      </c>
      <c r="G210" t="inlineStr">
        <is>
          <t>ÖSTRA GÖINGE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46235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46235</v>
      </c>
      <c r="F212" t="inlineStr">
        <is>
          <t>SKÅNE LÄN</t>
        </is>
      </c>
      <c r="G212" t="inlineStr">
        <is>
          <t>ÖSTRA GÖINGE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46235</v>
      </c>
      <c r="F213" t="inlineStr">
        <is>
          <t>SKÅNE LÄN</t>
        </is>
      </c>
      <c r="G213" t="inlineStr">
        <is>
          <t>ÖSTRA GÖINGE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46235</v>
      </c>
      <c r="F214" t="inlineStr">
        <is>
          <t>SKÅNE LÄN</t>
        </is>
      </c>
      <c r="G214" t="inlineStr">
        <is>
          <t>ÖSTRA GÖINGE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46235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46235</v>
      </c>
      <c r="F216" t="inlineStr">
        <is>
          <t>SKÅNE LÄN</t>
        </is>
      </c>
      <c r="G216" t="inlineStr">
        <is>
          <t>ÖSTRA GÖINGE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46235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46235</v>
      </c>
      <c r="F218" t="inlineStr">
        <is>
          <t>SKÅNE LÄN</t>
        </is>
      </c>
      <c r="G218" t="inlineStr">
        <is>
          <t>ÖSTRA GÖINGE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46235</v>
      </c>
      <c r="F219" t="inlineStr">
        <is>
          <t>SKÅNE LÄN</t>
        </is>
      </c>
      <c r="G219" t="inlineStr">
        <is>
          <t>ÖSTRA GÖINGE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46235</v>
      </c>
      <c r="F220" t="inlineStr">
        <is>
          <t>SKÅNE LÄN</t>
        </is>
      </c>
      <c r="G220" t="inlineStr">
        <is>
          <t>ÖSTRA GÖINGE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46235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46235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46235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46235</v>
      </c>
      <c r="F224" t="inlineStr">
        <is>
          <t>SKÅNE LÄN</t>
        </is>
      </c>
      <c r="G224" t="inlineStr">
        <is>
          <t>ÖSTRA GÖINGE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46235</v>
      </c>
      <c r="F225" t="inlineStr">
        <is>
          <t>SKÅNE LÄN</t>
        </is>
      </c>
      <c r="G225" t="inlineStr">
        <is>
          <t>ÖSTRA GÖINGE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45970</v>
      </c>
      <c r="E226" s="1" t="n">
        <v>46235</v>
      </c>
      <c r="F226" t="inlineStr">
        <is>
          <t>SKÅNE LÄN</t>
        </is>
      </c>
      <c r="G226" t="inlineStr">
        <is>
          <t>ÖSTRA GÖINGE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46235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46235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46235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46235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46235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46235</v>
      </c>
      <c r="F232" t="inlineStr">
        <is>
          <t>SKÅNE LÄN</t>
        </is>
      </c>
      <c r="G232" t="inlineStr">
        <is>
          <t>ÖSTRA GÖINGE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46235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46235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46235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45733</v>
      </c>
      <c r="E236" s="1" t="n">
        <v>46235</v>
      </c>
      <c r="F236" t="inlineStr">
        <is>
          <t>SKÅNE LÄN</t>
        </is>
      </c>
      <c r="G236" t="inlineStr">
        <is>
          <t>ÖSTRA GÖINGE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46235</v>
      </c>
      <c r="F237" t="inlineStr">
        <is>
          <t>SKÅNE LÄN</t>
        </is>
      </c>
      <c r="G237" t="inlineStr">
        <is>
          <t>ÖSTRA GÖINGE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46235</v>
      </c>
      <c r="F238" t="inlineStr">
        <is>
          <t>SKÅNE LÄN</t>
        </is>
      </c>
      <c r="G238" t="inlineStr">
        <is>
          <t>ÖSTRA GÖINGE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46235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50896-2021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44460</v>
      </c>
      <c r="E240" s="1" t="n">
        <v>46235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50927-2021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44459</v>
      </c>
      <c r="E241" s="1" t="n">
        <v>46235</v>
      </c>
      <c r="F241" t="inlineStr">
        <is>
          <t>SKÅNE LÄN</t>
        </is>
      </c>
      <c r="G241" t="inlineStr">
        <is>
          <t>ÖSTRA GÖINGE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46235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46235</v>
      </c>
      <c r="F243" t="inlineStr">
        <is>
          <t>SKÅNE LÄN</t>
        </is>
      </c>
      <c r="G243" t="inlineStr">
        <is>
          <t>ÖSTRA GÖINGE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46235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46235</v>
      </c>
      <c r="F245" t="inlineStr">
        <is>
          <t>SKÅNE LÄN</t>
        </is>
      </c>
      <c r="G245" t="inlineStr">
        <is>
          <t>ÖSTRA GÖINGE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46235</v>
      </c>
      <c r="F246" t="inlineStr">
        <is>
          <t>SKÅNE LÄN</t>
        </is>
      </c>
      <c r="G246" t="inlineStr">
        <is>
          <t>ÖSTRA GÖINGE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46235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46235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45686</v>
      </c>
      <c r="E249" s="1" t="n">
        <v>46235</v>
      </c>
      <c r="F249" t="inlineStr">
        <is>
          <t>SKÅNE LÄN</t>
        </is>
      </c>
      <c r="G249" t="inlineStr">
        <is>
          <t>ÖSTRA GÖINGE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46235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62052-2022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46235</v>
      </c>
      <c r="F251" t="inlineStr">
        <is>
          <t>SKÅNE LÄN</t>
        </is>
      </c>
      <c r="G251" t="inlineStr">
        <is>
          <t>ÖSTRA GÖINGE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46235</v>
      </c>
      <c r="F252" t="inlineStr">
        <is>
          <t>SKÅNE LÄN</t>
        </is>
      </c>
      <c r="G252" t="inlineStr">
        <is>
          <t>ÖSTRA GÖINGE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46235</v>
      </c>
      <c r="F253" t="inlineStr">
        <is>
          <t>SKÅNE LÄN</t>
        </is>
      </c>
      <c r="G253" t="inlineStr">
        <is>
          <t>ÖSTRA GÖINGE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46235</v>
      </c>
      <c r="F254" t="inlineStr">
        <is>
          <t>SKÅNE LÄN</t>
        </is>
      </c>
      <c r="G254" t="inlineStr">
        <is>
          <t>ÖSTRA GÖINGE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46235</v>
      </c>
      <c r="F255" t="inlineStr">
        <is>
          <t>SKÅNE LÄN</t>
        </is>
      </c>
      <c r="G255" t="inlineStr">
        <is>
          <t>ÖSTRA GÖINGE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46235</v>
      </c>
      <c r="F256" t="inlineStr">
        <is>
          <t>SKÅNE LÄN</t>
        </is>
      </c>
      <c r="G256" t="inlineStr">
        <is>
          <t>ÖSTRA GÖINGE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46235</v>
      </c>
      <c r="F257" t="inlineStr">
        <is>
          <t>SKÅNE LÄN</t>
        </is>
      </c>
      <c r="G257" t="inlineStr">
        <is>
          <t>ÖSTRA GÖINGE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44929</v>
      </c>
      <c r="E258" s="1" t="n">
        <v>46235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46235</v>
      </c>
      <c r="F259" t="inlineStr">
        <is>
          <t>SKÅNE LÄN</t>
        </is>
      </c>
      <c r="G259" t="inlineStr">
        <is>
          <t>ÖSTRA GÖINGE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46235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46235</v>
      </c>
      <c r="F261" t="inlineStr">
        <is>
          <t>SKÅNE LÄN</t>
        </is>
      </c>
      <c r="G261" t="inlineStr">
        <is>
          <t>ÖSTRA GÖINGE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30111-2026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46206</v>
      </c>
      <c r="E262" s="1" t="n">
        <v>46235</v>
      </c>
      <c r="F262" t="inlineStr">
        <is>
          <t>SKÅNE LÄN</t>
        </is>
      </c>
      <c r="G262" t="inlineStr">
        <is>
          <t>ÖSTRA GÖINGE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46235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46235</v>
      </c>
      <c r="F264" t="inlineStr">
        <is>
          <t>SKÅNE LÄN</t>
        </is>
      </c>
      <c r="G264" t="inlineStr">
        <is>
          <t>ÖSTRA GÖINGE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46235</v>
      </c>
      <c r="F265" t="inlineStr">
        <is>
          <t>SKÅNE LÄN</t>
        </is>
      </c>
      <c r="G265" t="inlineStr">
        <is>
          <t>ÖSTRA GÖINGE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46235</v>
      </c>
      <c r="F266" t="inlineStr">
        <is>
          <t>SKÅNE LÄN</t>
        </is>
      </c>
      <c r="G266" t="inlineStr">
        <is>
          <t>ÖSTRA GÖINGE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46235</v>
      </c>
      <c r="F267" t="inlineStr">
        <is>
          <t>SKÅNE LÄN</t>
        </is>
      </c>
      <c r="G267" t="inlineStr">
        <is>
          <t>ÖSTRA GÖINGE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50922-2021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44459</v>
      </c>
      <c r="E268" s="1" t="n">
        <v>46235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46235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46235</v>
      </c>
      <c r="F270" t="inlineStr">
        <is>
          <t>SKÅNE LÄN</t>
        </is>
      </c>
      <c r="G270" t="inlineStr">
        <is>
          <t>ÖSTRA GÖINGE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46235</v>
      </c>
      <c r="F271" t="inlineStr">
        <is>
          <t>SKÅNE LÄN</t>
        </is>
      </c>
      <c r="G271" t="inlineStr">
        <is>
          <t>ÖSTRA GÖINGE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46235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46235</v>
      </c>
      <c r="F273" t="inlineStr">
        <is>
          <t>SKÅNE LÄN</t>
        </is>
      </c>
      <c r="G273" t="inlineStr">
        <is>
          <t>ÖSTRA GÖINGE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69384-2021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46235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44914</v>
      </c>
      <c r="E275" s="1" t="n">
        <v>46235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46235</v>
      </c>
      <c r="F276" t="inlineStr">
        <is>
          <t>SKÅNE LÄN</t>
        </is>
      </c>
      <c r="G276" t="inlineStr">
        <is>
          <t>ÖSTRA GÖINGE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46235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71741-2021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44539</v>
      </c>
      <c r="E278" s="1" t="n">
        <v>46235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46235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46235</v>
      </c>
      <c r="F280" t="inlineStr">
        <is>
          <t>SKÅNE LÄN</t>
        </is>
      </c>
      <c r="G280" t="inlineStr">
        <is>
          <t>ÖSTRA GÖINGE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46235</v>
      </c>
      <c r="F281" t="inlineStr">
        <is>
          <t>SKÅNE LÄN</t>
        </is>
      </c>
      <c r="G281" t="inlineStr">
        <is>
          <t>ÖSTRA GÖINGE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46235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46235</v>
      </c>
      <c r="F283" t="inlineStr">
        <is>
          <t>SKÅNE LÄN</t>
        </is>
      </c>
      <c r="G283" t="inlineStr">
        <is>
          <t>ÖSTRA GÖINGE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46235</v>
      </c>
      <c r="F284" t="inlineStr">
        <is>
          <t>SKÅNE LÄN</t>
        </is>
      </c>
      <c r="G284" t="inlineStr">
        <is>
          <t>ÖSTRA GÖINGE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45765</v>
      </c>
      <c r="E285" s="1" t="n">
        <v>46235</v>
      </c>
      <c r="F285" t="inlineStr">
        <is>
          <t>SKÅNE LÄN</t>
        </is>
      </c>
      <c r="G285" t="inlineStr">
        <is>
          <t>ÖSTRA GÖINGE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44585</v>
      </c>
      <c r="E286" s="1" t="n">
        <v>46235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46235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46235</v>
      </c>
      <c r="F288" t="inlineStr">
        <is>
          <t>SKÅNE LÄN</t>
        </is>
      </c>
      <c r="G288" t="inlineStr">
        <is>
          <t>ÖSTRA GÖINGE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46235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44742</v>
      </c>
      <c r="E290" s="1" t="n">
        <v>46235</v>
      </c>
      <c r="F290" t="inlineStr">
        <is>
          <t>SKÅNE LÄN</t>
        </is>
      </c>
      <c r="G290" t="inlineStr">
        <is>
          <t>ÖSTRA GÖINGE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45622</v>
      </c>
      <c r="E291" s="1" t="n">
        <v>46235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46235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46235</v>
      </c>
      <c r="F293" t="inlineStr">
        <is>
          <t>SKÅNE LÄN</t>
        </is>
      </c>
      <c r="G293" t="inlineStr">
        <is>
          <t>ÖSTRA GÖINGE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46235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46235</v>
      </c>
      <c r="F295" t="inlineStr">
        <is>
          <t>SKÅNE LÄN</t>
        </is>
      </c>
      <c r="G295" t="inlineStr">
        <is>
          <t>ÖSTRA GÖINGE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46235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46235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46235</v>
      </c>
      <c r="F298" t="inlineStr">
        <is>
          <t>SKÅNE LÄN</t>
        </is>
      </c>
      <c r="G298" t="inlineStr">
        <is>
          <t>ÖSTRA GÖINGE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46235</v>
      </c>
      <c r="F299" t="inlineStr">
        <is>
          <t>SKÅNE LÄN</t>
        </is>
      </c>
      <c r="G299" t="inlineStr">
        <is>
          <t>ÖSTRA GÖINGE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46235</v>
      </c>
      <c r="F300" t="inlineStr">
        <is>
          <t>SKÅNE LÄN</t>
        </is>
      </c>
      <c r="G300" t="inlineStr">
        <is>
          <t>ÖSTRA GÖINGE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46235</v>
      </c>
      <c r="F301" t="inlineStr">
        <is>
          <t>SKÅNE LÄN</t>
        </is>
      </c>
      <c r="G301" t="inlineStr">
        <is>
          <t>ÖSTRA GÖINGE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46235</v>
      </c>
      <c r="F302" t="inlineStr">
        <is>
          <t>SKÅNE LÄN</t>
        </is>
      </c>
      <c r="G302" t="inlineStr">
        <is>
          <t>ÖSTRA GÖINGE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46235</v>
      </c>
      <c r="F303" t="inlineStr">
        <is>
          <t>SKÅNE LÄN</t>
        </is>
      </c>
      <c r="G303" t="inlineStr">
        <is>
          <t>ÖSTRA GÖINGE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46235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46235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45331</v>
      </c>
      <c r="E306" s="1" t="n">
        <v>46235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46235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46235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46235</v>
      </c>
      <c r="F309" t="inlineStr">
        <is>
          <t>SKÅNE LÄN</t>
        </is>
      </c>
      <c r="G309" t="inlineStr">
        <is>
          <t>ÖSTRA GÖINGE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46235</v>
      </c>
      <c r="F310" t="inlineStr">
        <is>
          <t>SKÅNE LÄN</t>
        </is>
      </c>
      <c r="G310" t="inlineStr">
        <is>
          <t>ÖSTRA GÖINGE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46235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46235</v>
      </c>
      <c r="F312" t="inlineStr">
        <is>
          <t>SKÅNE LÄN</t>
        </is>
      </c>
      <c r="G312" t="inlineStr">
        <is>
          <t>ÖSTRA GÖINGE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46235</v>
      </c>
      <c r="F313" t="inlineStr">
        <is>
          <t>SKÅNE LÄN</t>
        </is>
      </c>
      <c r="G313" t="inlineStr">
        <is>
          <t>ÖSTRA GÖINGE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46235</v>
      </c>
      <c r="F314" t="inlineStr">
        <is>
          <t>SKÅNE LÄN</t>
        </is>
      </c>
      <c r="G314" t="inlineStr">
        <is>
          <t>ÖSTRA GÖINGE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46235</v>
      </c>
      <c r="F315" t="inlineStr">
        <is>
          <t>SKÅNE LÄN</t>
        </is>
      </c>
      <c r="G315" t="inlineStr">
        <is>
          <t>ÖSTRA GÖINGE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46235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46235</v>
      </c>
      <c r="F317" t="inlineStr">
        <is>
          <t>SKÅNE LÄN</t>
        </is>
      </c>
      <c r="G317" t="inlineStr">
        <is>
          <t>ÖSTRA GÖINGE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46235</v>
      </c>
      <c r="F318" t="inlineStr">
        <is>
          <t>SKÅNE LÄN</t>
        </is>
      </c>
      <c r="G318" t="inlineStr">
        <is>
          <t>ÖSTRA GÖINGE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46235</v>
      </c>
      <c r="F319" t="inlineStr">
        <is>
          <t>SKÅNE LÄN</t>
        </is>
      </c>
      <c r="G319" t="inlineStr">
        <is>
          <t>ÖSTRA GÖINGE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46235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46235</v>
      </c>
      <c r="F321" t="inlineStr">
        <is>
          <t>SKÅNE LÄN</t>
        </is>
      </c>
      <c r="G321" t="inlineStr">
        <is>
          <t>ÖSTRA GÖINGE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45601</v>
      </c>
      <c r="E322" s="1" t="n">
        <v>46235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46235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46235</v>
      </c>
      <c r="F324" t="inlineStr">
        <is>
          <t>SKÅNE LÄN</t>
        </is>
      </c>
      <c r="G324" t="inlineStr">
        <is>
          <t>ÖSTRA GÖINGE</t>
        </is>
      </c>
      <c r="I324" t="n">
        <v>34.5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46235</v>
      </c>
      <c r="F325" t="inlineStr">
        <is>
          <t>SKÅNE LÄN</t>
        </is>
      </c>
      <c r="G325" t="inlineStr">
        <is>
          <t>ÖSTRA GÖINGE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44977</v>
      </c>
      <c r="E326" s="1" t="n">
        <v>46235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46235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46235</v>
      </c>
      <c r="F328" t="inlineStr">
        <is>
          <t>SKÅNE LÄN</t>
        </is>
      </c>
      <c r="G328" t="inlineStr">
        <is>
          <t>ÖSTRA GÖINGE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46057</v>
      </c>
      <c r="E329" s="1" t="n">
        <v>46235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46235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46235</v>
      </c>
      <c r="F331" t="inlineStr">
        <is>
          <t>SKÅNE LÄN</t>
        </is>
      </c>
      <c r="G331" t="inlineStr">
        <is>
          <t>ÖSTRA GÖINGE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44593</v>
      </c>
      <c r="E332" s="1" t="n">
        <v>46235</v>
      </c>
      <c r="F332" t="inlineStr">
        <is>
          <t>SKÅNE LÄN</t>
        </is>
      </c>
      <c r="G332" t="inlineStr">
        <is>
          <t>ÖSTRA GÖINGE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46235</v>
      </c>
      <c r="F333" t="inlineStr">
        <is>
          <t>SKÅNE LÄN</t>
        </is>
      </c>
      <c r="G333" t="inlineStr">
        <is>
          <t>ÖSTRA GÖINGE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46235</v>
      </c>
      <c r="F334" t="inlineStr">
        <is>
          <t>SKÅNE LÄN</t>
        </is>
      </c>
      <c r="G334" t="inlineStr">
        <is>
          <t>ÖSTRA GÖINGE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46235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46235</v>
      </c>
      <c r="F336" t="inlineStr">
        <is>
          <t>SKÅNE LÄN</t>
        </is>
      </c>
      <c r="G336" t="inlineStr">
        <is>
          <t>ÖSTRA GÖINGE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45307</v>
      </c>
      <c r="E337" s="1" t="n">
        <v>46235</v>
      </c>
      <c r="F337" t="inlineStr">
        <is>
          <t>SKÅNE LÄN</t>
        </is>
      </c>
      <c r="G337" t="inlineStr">
        <is>
          <t>ÖSTRA GÖINGE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46235</v>
      </c>
      <c r="F338" t="inlineStr">
        <is>
          <t>SKÅNE LÄN</t>
        </is>
      </c>
      <c r="G338" t="inlineStr">
        <is>
          <t>ÖSTRA GÖINGE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46235</v>
      </c>
      <c r="F339" t="inlineStr">
        <is>
          <t>SKÅNE LÄN</t>
        </is>
      </c>
      <c r="G339" t="inlineStr">
        <is>
          <t>ÖSTRA GÖINGE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69387-2021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44531</v>
      </c>
      <c r="E340" s="1" t="n">
        <v>46235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46235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46235</v>
      </c>
      <c r="F342" t="inlineStr">
        <is>
          <t>SKÅNE LÄN</t>
        </is>
      </c>
      <c r="G342" t="inlineStr">
        <is>
          <t>ÖSTRA GÖINGE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46235</v>
      </c>
      <c r="F343" t="inlineStr">
        <is>
          <t>SKÅNE LÄN</t>
        </is>
      </c>
      <c r="G343" t="inlineStr">
        <is>
          <t>ÖSTRA GÖINGE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45541</v>
      </c>
      <c r="E344" s="1" t="n">
        <v>46235</v>
      </c>
      <c r="F344" t="inlineStr">
        <is>
          <t>SKÅNE LÄN</t>
        </is>
      </c>
      <c r="G344" t="inlineStr">
        <is>
          <t>ÖSTRA GÖINGE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42592-2021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44428</v>
      </c>
      <c r="E345" s="1" t="n">
        <v>46235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46279-2024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45581</v>
      </c>
      <c r="E346" s="1" t="n">
        <v>46235</v>
      </c>
      <c r="F346" t="inlineStr">
        <is>
          <t>SKÅNE LÄN</t>
        </is>
      </c>
      <c r="G346" t="inlineStr">
        <is>
          <t>ÖSTRA GÖINGE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46235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46235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46235</v>
      </c>
      <c r="F349" t="inlineStr">
        <is>
          <t>SKÅNE LÄN</t>
        </is>
      </c>
      <c r="G349" t="inlineStr">
        <is>
          <t>ÖSTRA GÖINGE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46235</v>
      </c>
      <c r="F350" t="inlineStr">
        <is>
          <t>SKÅNE LÄN</t>
        </is>
      </c>
      <c r="G350" t="inlineStr">
        <is>
          <t>ÖSTRA GÖINGE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46235</v>
      </c>
      <c r="F351" t="inlineStr">
        <is>
          <t>SKÅNE LÄN</t>
        </is>
      </c>
      <c r="G351" t="inlineStr">
        <is>
          <t>ÖSTRA GÖINGE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45569</v>
      </c>
      <c r="E352" s="1" t="n">
        <v>46235</v>
      </c>
      <c r="F352" t="inlineStr">
        <is>
          <t>SKÅNE LÄN</t>
        </is>
      </c>
      <c r="G352" t="inlineStr">
        <is>
          <t>ÖSTRA GÖINGE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46235</v>
      </c>
      <c r="F353" t="inlineStr">
        <is>
          <t>SKÅNE LÄN</t>
        </is>
      </c>
      <c r="G353" t="inlineStr">
        <is>
          <t>ÖSTRA GÖINGE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46235</v>
      </c>
      <c r="F354" t="inlineStr">
        <is>
          <t>SKÅNE LÄN</t>
        </is>
      </c>
      <c r="G354" t="inlineStr">
        <is>
          <t>ÖSTRA GÖINGE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46235</v>
      </c>
      <c r="F355" t="inlineStr">
        <is>
          <t>SKÅNE LÄN</t>
        </is>
      </c>
      <c r="G355" t="inlineStr">
        <is>
          <t>ÖSTRA GÖINGE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46235</v>
      </c>
      <c r="F356" t="inlineStr">
        <is>
          <t>SKÅNE LÄN</t>
        </is>
      </c>
      <c r="G356" t="inlineStr">
        <is>
          <t>ÖSTRA GÖINGE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44623</v>
      </c>
      <c r="E357" s="1" t="n">
        <v>46235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45076</v>
      </c>
      <c r="E358" s="1" t="n">
        <v>46235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45076</v>
      </c>
      <c r="E359" s="1" t="n">
        <v>46235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45172</v>
      </c>
      <c r="E360" s="1" t="n">
        <v>46235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46235</v>
      </c>
      <c r="F361" t="inlineStr">
        <is>
          <t>SKÅNE LÄN</t>
        </is>
      </c>
      <c r="G361" t="inlineStr">
        <is>
          <t>ÖSTRA GÖINGE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46235</v>
      </c>
      <c r="F362" t="inlineStr">
        <is>
          <t>SKÅNE LÄN</t>
        </is>
      </c>
      <c r="G362" t="inlineStr">
        <is>
          <t>ÖSTRA GÖINGE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46235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45117</v>
      </c>
      <c r="E364" s="1" t="n">
        <v>46235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46235</v>
      </c>
      <c r="F365" t="inlineStr">
        <is>
          <t>SKÅNE LÄN</t>
        </is>
      </c>
      <c r="G365" t="inlineStr">
        <is>
          <t>ÖSTRA GÖINGE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42192-2023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45179</v>
      </c>
      <c r="E366" s="1" t="n">
        <v>46235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46235</v>
      </c>
      <c r="F367" t="inlineStr">
        <is>
          <t>SKÅNE LÄN</t>
        </is>
      </c>
      <c r="G367" t="inlineStr">
        <is>
          <t>ÖSTRA GÖINGE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58518-2024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45635</v>
      </c>
      <c r="E368" s="1" t="n">
        <v>46235</v>
      </c>
      <c r="F368" t="inlineStr">
        <is>
          <t>SKÅNE LÄN</t>
        </is>
      </c>
      <c r="G368" t="inlineStr">
        <is>
          <t>ÖSTRA GÖINGE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46235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46235</v>
      </c>
      <c r="F370" t="inlineStr">
        <is>
          <t>SKÅNE LÄN</t>
        </is>
      </c>
      <c r="G370" t="inlineStr">
        <is>
          <t>ÖSTRA GÖINGE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45685</v>
      </c>
      <c r="E371" s="1" t="n">
        <v>46235</v>
      </c>
      <c r="F371" t="inlineStr">
        <is>
          <t>SKÅNE LÄN</t>
        </is>
      </c>
      <c r="G371" t="inlineStr">
        <is>
          <t>ÖSTRA GÖINGE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46235</v>
      </c>
      <c r="F372" t="inlineStr">
        <is>
          <t>SKÅNE LÄN</t>
        </is>
      </c>
      <c r="G372" t="inlineStr">
        <is>
          <t>ÖSTRA GÖINGE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46235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45774</v>
      </c>
      <c r="E374" s="1" t="n">
        <v>46235</v>
      </c>
      <c r="F374" t="inlineStr">
        <is>
          <t>SKÅNE LÄN</t>
        </is>
      </c>
      <c r="G374" t="inlineStr">
        <is>
          <t>ÖSTRA GÖINGE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46235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46235</v>
      </c>
      <c r="F376" t="inlineStr">
        <is>
          <t>SKÅNE LÄN</t>
        </is>
      </c>
      <c r="G376" t="inlineStr">
        <is>
          <t>ÖSTRA GÖINGE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46235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46235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46235</v>
      </c>
      <c r="F379" t="inlineStr">
        <is>
          <t>SKÅNE LÄN</t>
        </is>
      </c>
      <c r="G379" t="inlineStr">
        <is>
          <t>ÖSTRA GÖINGE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44686</v>
      </c>
      <c r="E380" s="1" t="n">
        <v>46235</v>
      </c>
      <c r="F380" t="inlineStr">
        <is>
          <t>SKÅNE LÄN</t>
        </is>
      </c>
      <c r="G380" t="inlineStr">
        <is>
          <t>ÖSTRA GÖINGE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46235</v>
      </c>
      <c r="F381" t="inlineStr">
        <is>
          <t>SKÅNE LÄN</t>
        </is>
      </c>
      <c r="G381" t="inlineStr">
        <is>
          <t>ÖSTRA GÖINGE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46235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45198</v>
      </c>
      <c r="E383" s="1" t="n">
        <v>46235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46235</v>
      </c>
      <c r="F384" t="inlineStr">
        <is>
          <t>SKÅNE LÄN</t>
        </is>
      </c>
      <c r="G384" t="inlineStr">
        <is>
          <t>ÖSTRA GÖINGE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46235</v>
      </c>
      <c r="F385" t="inlineStr">
        <is>
          <t>SKÅNE LÄN</t>
        </is>
      </c>
      <c r="G385" t="inlineStr">
        <is>
          <t>ÖSTRA GÖINGE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46235</v>
      </c>
      <c r="F386" t="inlineStr">
        <is>
          <t>SKÅNE LÄN</t>
        </is>
      </c>
      <c r="G386" t="inlineStr">
        <is>
          <t>ÖSTRA GÖINGE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46235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46235</v>
      </c>
      <c r="F388" t="inlineStr">
        <is>
          <t>SKÅNE LÄN</t>
        </is>
      </c>
      <c r="G388" t="inlineStr">
        <is>
          <t>ÖSTRA GÖINGE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46235</v>
      </c>
      <c r="F389" t="inlineStr">
        <is>
          <t>SKÅNE LÄN</t>
        </is>
      </c>
      <c r="G389" t="inlineStr">
        <is>
          <t>ÖSTRA GÖINGE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46235</v>
      </c>
      <c r="F390" t="inlineStr">
        <is>
          <t>SKÅNE LÄN</t>
        </is>
      </c>
      <c r="G390" t="inlineStr">
        <is>
          <t>ÖSTRA GÖINGE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46235</v>
      </c>
      <c r="F391" t="inlineStr">
        <is>
          <t>SKÅNE LÄN</t>
        </is>
      </c>
      <c r="G391" t="inlineStr">
        <is>
          <t>ÖSTRA GÖINGE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46235</v>
      </c>
      <c r="F392" t="inlineStr">
        <is>
          <t>SKÅNE LÄN</t>
        </is>
      </c>
      <c r="G392" t="inlineStr">
        <is>
          <t>ÖSTRA GÖINGE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46235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46235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46235</v>
      </c>
      <c r="F395" t="inlineStr">
        <is>
          <t>SKÅNE LÄN</t>
        </is>
      </c>
      <c r="G395" t="inlineStr">
        <is>
          <t>ÖSTRA GÖINGE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46235</v>
      </c>
      <c r="F396" t="inlineStr">
        <is>
          <t>SKÅNE LÄN</t>
        </is>
      </c>
      <c r="G396" t="inlineStr">
        <is>
          <t>ÖSTRA GÖINGE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45330</v>
      </c>
      <c r="E397" s="1" t="n">
        <v>46235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46235</v>
      </c>
      <c r="F398" t="inlineStr">
        <is>
          <t>SKÅNE LÄN</t>
        </is>
      </c>
      <c r="G398" t="inlineStr">
        <is>
          <t>ÖSTRA GÖINGE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46235</v>
      </c>
      <c r="F399" t="inlineStr">
        <is>
          <t>SKÅNE LÄN</t>
        </is>
      </c>
      <c r="G399" t="inlineStr">
        <is>
          <t>ÖSTRA GÖINGE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45349</v>
      </c>
      <c r="E400" s="1" t="n">
        <v>46235</v>
      </c>
      <c r="F400" t="inlineStr">
        <is>
          <t>SKÅNE LÄN</t>
        </is>
      </c>
      <c r="G400" t="inlineStr">
        <is>
          <t>ÖSTRA GÖINGE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46235</v>
      </c>
      <c r="F401" t="inlineStr">
        <is>
          <t>SKÅNE LÄN</t>
        </is>
      </c>
      <c r="G401" t="inlineStr">
        <is>
          <t>ÖSTRA GÖINGE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46235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45726</v>
      </c>
      <c r="E403" s="1" t="n">
        <v>46235</v>
      </c>
      <c r="F403" t="inlineStr">
        <is>
          <t>SKÅNE LÄN</t>
        </is>
      </c>
      <c r="G403" t="inlineStr">
        <is>
          <t>ÖSTRA GÖINGE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25824-2025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45804</v>
      </c>
      <c r="E404" s="1" t="n">
        <v>46235</v>
      </c>
      <c r="F404" t="inlineStr">
        <is>
          <t>SKÅNE LÄN</t>
        </is>
      </c>
      <c r="G404" t="inlineStr">
        <is>
          <t>ÖSTRA GÖINGE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44723</v>
      </c>
      <c r="E405" s="1" t="n">
        <v>46235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46235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46235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46235</v>
      </c>
      <c r="F408" t="inlineStr">
        <is>
          <t>SKÅNE LÄN</t>
        </is>
      </c>
      <c r="G408" t="inlineStr">
        <is>
          <t>ÖSTRA GÖINGE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46235</v>
      </c>
      <c r="F409" t="inlineStr">
        <is>
          <t>SKÅNE LÄN</t>
        </is>
      </c>
      <c r="G409" t="inlineStr">
        <is>
          <t>ÖSTRA GÖINGE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45820</v>
      </c>
      <c r="E410" s="1" t="n">
        <v>46235</v>
      </c>
      <c r="F410" t="inlineStr">
        <is>
          <t>SKÅNE LÄN</t>
        </is>
      </c>
      <c r="G410" t="inlineStr">
        <is>
          <t>ÖSTRA GÖINGE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46235</v>
      </c>
      <c r="F411" t="inlineStr">
        <is>
          <t>SKÅNE LÄN</t>
        </is>
      </c>
      <c r="G411" t="inlineStr">
        <is>
          <t>ÖSTRA GÖINGE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60519-2023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46235</v>
      </c>
      <c r="F412" t="inlineStr">
        <is>
          <t>SKÅNE LÄN</t>
        </is>
      </c>
      <c r="G412" t="inlineStr">
        <is>
          <t>ÖSTRA GÖINGE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71747-2021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44539</v>
      </c>
      <c r="E413" s="1" t="n">
        <v>46235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46235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46235</v>
      </c>
      <c r="F415" t="inlineStr">
        <is>
          <t>SKÅNE LÄN</t>
        </is>
      </c>
      <c r="G415" t="inlineStr">
        <is>
          <t>ÖSTRA GÖINGE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44937</v>
      </c>
      <c r="E416" s="1" t="n">
        <v>46235</v>
      </c>
      <c r="F416" t="inlineStr">
        <is>
          <t>SKÅNE LÄN</t>
        </is>
      </c>
      <c r="G416" t="inlineStr">
        <is>
          <t>ÖSTRA GÖINGE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45564</v>
      </c>
      <c r="E417" s="1" t="n">
        <v>46235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46235</v>
      </c>
      <c r="F418" t="inlineStr">
        <is>
          <t>SKÅNE LÄN</t>
        </is>
      </c>
      <c r="G418" t="inlineStr">
        <is>
          <t>ÖSTRA GÖINGE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46235</v>
      </c>
      <c r="F419" t="inlineStr">
        <is>
          <t>SKÅNE LÄN</t>
        </is>
      </c>
      <c r="G419" t="inlineStr">
        <is>
          <t>ÖSTRA GÖINGE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64181-2023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45279</v>
      </c>
      <c r="E420" s="1" t="n">
        <v>46235</v>
      </c>
      <c r="F420" t="inlineStr">
        <is>
          <t>SKÅNE LÄN</t>
        </is>
      </c>
      <c r="G420" t="inlineStr">
        <is>
          <t>ÖSTRA GÖINGE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45699</v>
      </c>
      <c r="E421" s="1" t="n">
        <v>46235</v>
      </c>
      <c r="F421" t="inlineStr">
        <is>
          <t>SKÅNE LÄN</t>
        </is>
      </c>
      <c r="G421" t="inlineStr">
        <is>
          <t>ÖSTRA GÖINGE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46235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45643</v>
      </c>
      <c r="E423" s="1" t="n">
        <v>46235</v>
      </c>
      <c r="F423" t="inlineStr">
        <is>
          <t>SKÅNE LÄN</t>
        </is>
      </c>
      <c r="G423" t="inlineStr">
        <is>
          <t>ÖSTRA GÖINGE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46235</v>
      </c>
      <c r="F424" t="inlineStr">
        <is>
          <t>SKÅNE LÄN</t>
        </is>
      </c>
      <c r="G424" t="inlineStr">
        <is>
          <t>ÖSTRA GÖINGE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46235</v>
      </c>
      <c r="F425" t="inlineStr">
        <is>
          <t>SKÅNE LÄN</t>
        </is>
      </c>
      <c r="G425" t="inlineStr">
        <is>
          <t>ÖSTRA GÖINGE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46235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46235</v>
      </c>
      <c r="F427" t="inlineStr">
        <is>
          <t>SKÅNE LÄN</t>
        </is>
      </c>
      <c r="G427" t="inlineStr">
        <is>
          <t>ÖSTRA GÖINGE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45553</v>
      </c>
      <c r="E428" s="1" t="n">
        <v>46235</v>
      </c>
      <c r="F428" t="inlineStr">
        <is>
          <t>SKÅNE LÄN</t>
        </is>
      </c>
      <c r="G428" t="inlineStr">
        <is>
          <t>ÖSTRA GÖINGE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46235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28982-2025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46235</v>
      </c>
      <c r="F430" t="inlineStr">
        <is>
          <t>SKÅNE LÄN</t>
        </is>
      </c>
      <c r="G430" t="inlineStr">
        <is>
          <t>ÖSTRA GÖINGE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46235</v>
      </c>
      <c r="F431" t="inlineStr">
        <is>
          <t>SKÅNE LÄN</t>
        </is>
      </c>
      <c r="G431" t="inlineStr">
        <is>
          <t>ÖSTRA GÖINGE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46235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46235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46235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46235</v>
      </c>
      <c r="F435" t="inlineStr">
        <is>
          <t>SKÅNE LÄN</t>
        </is>
      </c>
      <c r="G435" t="inlineStr">
        <is>
          <t>ÖSTRA GÖINGE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46235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46235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46235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46235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45848</v>
      </c>
      <c r="E440" s="1" t="n">
        <v>46235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46235</v>
      </c>
      <c r="F441" t="inlineStr">
        <is>
          <t>SKÅNE LÄN</t>
        </is>
      </c>
      <c r="G441" t="inlineStr">
        <is>
          <t>ÖSTRA GÖINGE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46235</v>
      </c>
      <c r="F442" t="inlineStr">
        <is>
          <t>SKÅNE LÄN</t>
        </is>
      </c>
      <c r="G442" t="inlineStr">
        <is>
          <t>ÖSTRA GÖINGE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45146</v>
      </c>
      <c r="E443" s="1" t="n">
        <v>46235</v>
      </c>
      <c r="F443" t="inlineStr">
        <is>
          <t>SKÅNE LÄN</t>
        </is>
      </c>
      <c r="G443" t="inlineStr">
        <is>
          <t>ÖSTRA GÖINGE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46235</v>
      </c>
      <c r="F444" t="inlineStr">
        <is>
          <t>SKÅNE LÄN</t>
        </is>
      </c>
      <c r="G444" t="inlineStr">
        <is>
          <t>ÖSTRA GÖINGE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46235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46235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46235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46235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46235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46235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46235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46235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46235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46235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46235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46235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46235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46235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46235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46235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46235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46235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46235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46235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46235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46235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46235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46235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46235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46235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46235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46235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46235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46235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46235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46235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46235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46235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46235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46235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46235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46235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46235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46235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46235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46235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46235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2026-08-01T01:48:39Z</dcterms:created>
  <dcterms:modified xmlns:dcterms="http://purl.org/dc/terms/" xmlns:xsi="http://www.w3.org/2001/XMLSchema-instance" xsi:type="dcterms:W3CDTF">2026-08-01T01:48:40Z</dcterms:modified>
</cp:coreProperties>
</file>