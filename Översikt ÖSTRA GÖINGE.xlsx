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46293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46293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46293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46293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46293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46293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46293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46293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46293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46293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46293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46293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46293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46293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30306-2025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46293</v>
      </c>
      <c r="F23" t="inlineStr">
        <is>
          <t>SKÅNE LÄN</t>
        </is>
      </c>
      <c r="G23" t="inlineStr">
        <is>
          <t>ÖSTRA GÖINGE</t>
        </is>
      </c>
      <c r="I23" t="n">
        <v>3.6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Dvärglin
Järnsparv</t>
        </is>
      </c>
      <c r="W23">
        <f>HYPERLINK("https://klasma.github.io/Logging_1256/artfynd/A 30306-2025 artfynd.xlsx", "A 30306-2025")</f>
        <v/>
      </c>
      <c r="X23">
        <f>HYPERLINK("https://klasma.github.io/Logging_1256/kartor/A 30306-2025 karta.png", "A 30306-2025")</f>
        <v/>
      </c>
      <c r="Y23">
        <f>HYPERLINK("https://klasma.github.io/Logging_1256/kartor_geotiff/A 30306-2025 georefererad karta.tif", "A 30306-2025")</f>
        <v/>
      </c>
      <c r="AA23">
        <f>HYPERLINK("https://klasma.github.io/Logging_1256/klagomål/A 30306-2025 FSC-klagomål.docx", "A 30306-2025")</f>
        <v/>
      </c>
      <c r="AB23">
        <f>HYPERLINK("https://klasma.github.io/Logging_1256/klagomålsmail/A 30306-2025 FSC-klagomål mail.docx", "A 30306-2025")</f>
        <v/>
      </c>
      <c r="AC23">
        <f>HYPERLINK("https://klasma.github.io/Logging_1256/tillsyn/A 30306-2025 tillsynsbegäran.docx", "A 30306-2025")</f>
        <v/>
      </c>
      <c r="AD23">
        <f>HYPERLINK("https://klasma.github.io/Logging_1256/tillsynsmail/A 30306-2025 tillsynsbegäran mail.docx", "A 30306-2025")</f>
        <v/>
      </c>
      <c r="AE23">
        <f>HYPERLINK("https://klasma.github.io/Logging_1256/fåglar/A 30306-2025 prioriterade fågelarter.docx", "A 30306-2025")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46293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46293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46293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46293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46293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46293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46293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46293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46293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35037-2024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46293</v>
      </c>
      <c r="F37" t="inlineStr">
        <is>
          <t>SKÅNE LÄN</t>
        </is>
      </c>
      <c r="G37" t="inlineStr">
        <is>
          <t>ÖSTRA GÖINGE</t>
        </is>
      </c>
      <c r="I37" t="n">
        <v>12.6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Gullpudra</t>
        </is>
      </c>
      <c r="W37">
        <f>HYPERLINK("https://klasma.github.io/Logging_1256/artfynd/A 35037-2024 artfynd.xlsx", "A 35037-2024")</f>
        <v/>
      </c>
      <c r="X37">
        <f>HYPERLINK("https://klasma.github.io/Logging_1256/kartor/A 35037-2024 karta.png", "A 35037-2024")</f>
        <v/>
      </c>
      <c r="Y37">
        <f>HYPERLINK("https://klasma.github.io/Logging_1256/kartor_geotiff/A 35037-2024 georefererad karta.tif", "A 35037-2024")</f>
        <v/>
      </c>
      <c r="AA37">
        <f>HYPERLINK("https://klasma.github.io/Logging_1256/klagomål/A 35037-2024 FSC-klagomål.docx", "A 35037-2024")</f>
        <v/>
      </c>
      <c r="AB37">
        <f>HYPERLINK("https://klasma.github.io/Logging_1256/klagomålsmail/A 35037-2024 FSC-klagomål mail.docx", "A 35037-2024")</f>
        <v/>
      </c>
      <c r="AC37">
        <f>HYPERLINK("https://klasma.github.io/Logging_1256/tillsyn/A 35037-2024 tillsynsbegäran.docx", "A 35037-2024")</f>
        <v/>
      </c>
      <c r="AD37">
        <f>HYPERLINK("https://klasma.github.io/Logging_1256/tillsynsmail/A 35037-2024 tillsynsbegäran mail.docx", "A 35037-2024")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46293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46293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46293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4383-2024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45327</v>
      </c>
      <c r="E41" s="1" t="n">
        <v>46293</v>
      </c>
      <c r="F41" t="inlineStr">
        <is>
          <t>SKÅNE LÄN</t>
        </is>
      </c>
      <c r="G41" t="inlineStr">
        <is>
          <t>ÖSTRA GÖINGE</t>
        </is>
      </c>
      <c r="I41" t="n">
        <v>2.2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HYPERLINK("https://klasma.github.io/Logging_1256/artfynd/A 4383-2024 artfynd.xlsx", "A 4383-2024")</f>
        <v/>
      </c>
      <c r="X41">
        <f>HYPERLINK("https://klasma.github.io/Logging_1256/kartor/A 4383-2024 karta.png", "A 4383-2024")</f>
        <v/>
      </c>
      <c r="Y41">
        <f>HYPERLINK("https://klasma.github.io/Logging_1256/kartor_geotiff/A 4383-2024 georefererad karta.tif", "A 4383-2024")</f>
        <v/>
      </c>
      <c r="AA41">
        <f>HYPERLINK("https://klasma.github.io/Logging_1256/klagomål/A 4383-2024 FSC-klagomål.docx", "A 4383-2024")</f>
        <v/>
      </c>
      <c r="AB41">
        <f>HYPERLINK("https://klasma.github.io/Logging_1256/klagomålsmail/A 4383-2024 FSC-klagomål mail.docx", "A 4383-2024")</f>
        <v/>
      </c>
      <c r="AC41">
        <f>HYPERLINK("https://klasma.github.io/Logging_1256/tillsyn/A 4383-2024 tillsynsbegäran.docx", "A 4383-2024")</f>
        <v/>
      </c>
      <c r="AD41">
        <f>HYPERLINK("https://klasma.github.io/Logging_1256/tillsynsmail/A 4383-2024 tillsynsbegäran mail.docx", "A 4383-2024")</f>
        <v/>
      </c>
    </row>
    <row r="42" ht="15" customHeight="1">
      <c r="A42" t="inlineStr">
        <is>
          <t>A 45359-2023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46293</v>
      </c>
      <c r="F42" t="inlineStr">
        <is>
          <t>SKÅNE LÄN</t>
        </is>
      </c>
      <c r="G42" t="inlineStr">
        <is>
          <t>ÖSTRA GÖINGE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HYPERLINK("https://klasma.github.io/Logging_1256/artfynd/A 45359-2023 artfynd.xlsx", "A 45359-2023")</f>
        <v/>
      </c>
      <c r="X42">
        <f>HYPERLINK("https://klasma.github.io/Logging_1256/kartor/A 45359-2023 karta.png", "A 45359-2023")</f>
        <v/>
      </c>
      <c r="Y42">
        <f>HYPERLINK("https://klasma.github.io/Logging_1256/kartor_geotiff/A 45359-2023 georefererad karta.tif", "A 45359-2023")</f>
        <v/>
      </c>
      <c r="AA42">
        <f>HYPERLINK("https://klasma.github.io/Logging_1256/klagomål/A 45359-2023 FSC-klagomål.docx", "A 45359-2023")</f>
        <v/>
      </c>
      <c r="AB42">
        <f>HYPERLINK("https://klasma.github.io/Logging_1256/klagomålsmail/A 45359-2023 FSC-klagomål mail.docx", "A 45359-2023")</f>
        <v/>
      </c>
      <c r="AC42">
        <f>HYPERLINK("https://klasma.github.io/Logging_1256/tillsyn/A 45359-2023 tillsynsbegäran.docx", "A 45359-2023")</f>
        <v/>
      </c>
      <c r="AD42">
        <f>HYPERLINK("https://klasma.github.io/Logging_1256/tillsynsmail/A 45359-2023 tillsynsbegäran mail.docx", "A 45359-2023")</f>
        <v/>
      </c>
    </row>
    <row r="43" ht="15" customHeight="1">
      <c r="A43" t="inlineStr">
        <is>
          <t>A 26509-2025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45807</v>
      </c>
      <c r="E43" s="1" t="n">
        <v>46293</v>
      </c>
      <c r="F43" t="inlineStr">
        <is>
          <t>SKÅNE LÄN</t>
        </is>
      </c>
      <c r="G43" t="inlineStr">
        <is>
          <t>ÖSTRA GÖINGE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HYPERLINK("https://klasma.github.io/Logging_1256/artfynd/A 26509-2025 artfynd.xlsx", "A 26509-2025")</f>
        <v/>
      </c>
      <c r="X43">
        <f>HYPERLINK("https://klasma.github.io/Logging_1256/kartor/A 26509-2025 karta.png", "A 26509-2025")</f>
        <v/>
      </c>
      <c r="Y43">
        <f>HYPERLINK("https://klasma.github.io/Logging_1256/kartor_geotiff/A 26509-2025 georefererad karta.tif", "A 26509-2025")</f>
        <v/>
      </c>
      <c r="AA43">
        <f>HYPERLINK("https://klasma.github.io/Logging_1256/klagomål/A 26509-2025 FSC-klagomål.docx", "A 26509-2025")</f>
        <v/>
      </c>
      <c r="AB43">
        <f>HYPERLINK("https://klasma.github.io/Logging_1256/klagomålsmail/A 26509-2025 FSC-klagomål mail.docx", "A 26509-2025")</f>
        <v/>
      </c>
      <c r="AC43">
        <f>HYPERLINK("https://klasma.github.io/Logging_1256/tillsyn/A 26509-2025 tillsynsbegäran.docx", "A 26509-2025")</f>
        <v/>
      </c>
      <c r="AD43">
        <f>HYPERLINK("https://klasma.github.io/Logging_1256/tillsynsmail/A 26509-2025 tillsynsbegäran mail.docx", "A 26509-2025")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46293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6152-2024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46293</v>
      </c>
      <c r="F45" t="inlineStr">
        <is>
          <t>SKÅNE LÄN</t>
        </is>
      </c>
      <c r="G45" t="inlineStr">
        <is>
          <t>ÖSTRA GÖINGE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Kungsfågel</t>
        </is>
      </c>
      <c r="W45">
        <f>HYPERLINK("https://klasma.github.io/Logging_1256/artfynd/A 6152-2024 artfynd.xlsx", "A 6152-2024")</f>
        <v/>
      </c>
      <c r="X45">
        <f>HYPERLINK("https://klasma.github.io/Logging_1256/kartor/A 6152-2024 karta.png", "A 6152-2024")</f>
        <v/>
      </c>
      <c r="Y45">
        <f>HYPERLINK("https://klasma.github.io/Logging_1256/kartor_geotiff/A 6152-2024 georefererad karta.tif", "A 6152-2024")</f>
        <v/>
      </c>
      <c r="AA45">
        <f>HYPERLINK("https://klasma.github.io/Logging_1256/klagomål/A 6152-2024 FSC-klagomål.docx", "A 6152-2024")</f>
        <v/>
      </c>
      <c r="AB45">
        <f>HYPERLINK("https://klasma.github.io/Logging_1256/klagomålsmail/A 6152-2024 FSC-klagomål mail.docx", "A 6152-2024")</f>
        <v/>
      </c>
      <c r="AC45">
        <f>HYPERLINK("https://klasma.github.io/Logging_1256/tillsyn/A 6152-2024 tillsynsbegäran.docx", "A 6152-2024")</f>
        <v/>
      </c>
      <c r="AD45">
        <f>HYPERLINK("https://klasma.github.io/Logging_1256/tillsynsmail/A 6152-2024 tillsynsbegäran mail.docx", "A 6152-2024")</f>
        <v/>
      </c>
    </row>
    <row r="46" ht="15" customHeight="1">
      <c r="A46" t="inlineStr">
        <is>
          <t>A 29273-2023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45105</v>
      </c>
      <c r="E46" s="1" t="n">
        <v>46293</v>
      </c>
      <c r="F46" t="inlineStr">
        <is>
          <t>SKÅNE LÄN</t>
        </is>
      </c>
      <c r="G46" t="inlineStr">
        <is>
          <t>ÖSTRA GÖINGE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Nötkråka</t>
        </is>
      </c>
      <c r="W46">
        <f>HYPERLINK("https://klasma.github.io/Logging_1256/artfynd/A 29273-2023 artfynd.xlsx", "A 29273-2023")</f>
        <v/>
      </c>
      <c r="X46">
        <f>HYPERLINK("https://klasma.github.io/Logging_1256/kartor/A 29273-2023 karta.png", "A 29273-2023")</f>
        <v/>
      </c>
      <c r="Y46">
        <f>HYPERLINK("https://klasma.github.io/Logging_1256/kartor_geotiff/A 29273-2023 georefererad karta.tif", "A 29273-2023")</f>
        <v/>
      </c>
      <c r="AA46">
        <f>HYPERLINK("https://klasma.github.io/Logging_1256/klagomål/A 29273-2023 FSC-klagomål.docx", "A 29273-2023")</f>
        <v/>
      </c>
      <c r="AB46">
        <f>HYPERLINK("https://klasma.github.io/Logging_1256/klagomålsmail/A 29273-2023 FSC-klagomål mail.docx", "A 29273-2023")</f>
        <v/>
      </c>
      <c r="AC46">
        <f>HYPERLINK("https://klasma.github.io/Logging_1256/tillsyn/A 29273-2023 tillsynsbegäran.docx", "A 29273-2023")</f>
        <v/>
      </c>
      <c r="AD46">
        <f>HYPERLINK("https://klasma.github.io/Logging_1256/tillsynsmail/A 29273-2023 tillsynsbegäran mail.docx", "A 29273-2023")</f>
        <v/>
      </c>
      <c r="AE46">
        <f>HYPERLINK("https://klasma.github.io/Logging_1256/fåglar/A 29273-2023 prioriterade fågelarter.docx", "A 29273-2023")</f>
        <v/>
      </c>
    </row>
    <row r="47" ht="15" customHeight="1">
      <c r="A47" t="inlineStr">
        <is>
          <t>A 34344-2025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46293</v>
      </c>
      <c r="F47" t="inlineStr">
        <is>
          <t>SKÅNE LÄN</t>
        </is>
      </c>
      <c r="G47" t="inlineStr">
        <is>
          <t>ÖSTRA GÖINGE</t>
        </is>
      </c>
      <c r="I47" t="n">
        <v>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Huggorm</t>
        </is>
      </c>
      <c r="W47">
        <f>HYPERLINK("https://klasma.github.io/Logging_1256/artfynd/A 34344-2025 artfynd.xlsx", "A 34344-2025")</f>
        <v/>
      </c>
      <c r="X47">
        <f>HYPERLINK("https://klasma.github.io/Logging_1256/kartor/A 34344-2025 karta.png", "A 34344-2025")</f>
        <v/>
      </c>
      <c r="Y47">
        <f>HYPERLINK("https://klasma.github.io/Logging_1256/kartor_geotiff/A 34344-2025 georefererad karta.tif", "A 34344-2025")</f>
        <v/>
      </c>
      <c r="AA47">
        <f>HYPERLINK("https://klasma.github.io/Logging_1256/klagomål/A 34344-2025 FSC-klagomål.docx", "A 34344-2025")</f>
        <v/>
      </c>
      <c r="AB47">
        <f>HYPERLINK("https://klasma.github.io/Logging_1256/klagomålsmail/A 34344-2025 FSC-klagomål mail.docx", "A 34344-2025")</f>
        <v/>
      </c>
      <c r="AC47">
        <f>HYPERLINK("https://klasma.github.io/Logging_1256/tillsyn/A 34344-2025 tillsynsbegäran.docx", "A 34344-2025")</f>
        <v/>
      </c>
      <c r="AD47">
        <f>HYPERLINK("https://klasma.github.io/Logging_1256/tillsynsmail/A 34344-2025 tillsynsbegäran mail.docx", "A 34344-2025")</f>
        <v/>
      </c>
    </row>
    <row r="48" ht="15" customHeight="1">
      <c r="A48" t="inlineStr">
        <is>
          <t>A 9769-2024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45362</v>
      </c>
      <c r="E48" s="1" t="n">
        <v>46293</v>
      </c>
      <c r="F48" t="inlineStr">
        <is>
          <t>SKÅNE LÄN</t>
        </is>
      </c>
      <c r="G48" t="inlineStr">
        <is>
          <t>ÖSTRA GÖINGE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Gullpudra</t>
        </is>
      </c>
      <c r="W48">
        <f>HYPERLINK("https://klasma.github.io/Logging_1256/artfynd/A 9769-2024 artfynd.xlsx", "A 9769-2024")</f>
        <v/>
      </c>
      <c r="X48">
        <f>HYPERLINK("https://klasma.github.io/Logging_1256/kartor/A 9769-2024 karta.png", "A 9769-2024")</f>
        <v/>
      </c>
      <c r="Y48">
        <f>HYPERLINK("https://klasma.github.io/Logging_1256/kartor_geotiff/A 9769-2024 georefererad karta.tif", "A 9769-2024")</f>
        <v/>
      </c>
      <c r="AA48">
        <f>HYPERLINK("https://klasma.github.io/Logging_1256/klagomål/A 9769-2024 FSC-klagomål.docx", "A 9769-2024")</f>
        <v/>
      </c>
      <c r="AB48">
        <f>HYPERLINK("https://klasma.github.io/Logging_1256/klagomålsmail/A 9769-2024 FSC-klagomål mail.docx", "A 9769-2024")</f>
        <v/>
      </c>
      <c r="AC48">
        <f>HYPERLINK("https://klasma.github.io/Logging_1256/tillsyn/A 9769-2024 tillsynsbegäran.docx", "A 9769-2024")</f>
        <v/>
      </c>
      <c r="AD48">
        <f>HYPERLINK("https://klasma.github.io/Logging_1256/tillsynsmail/A 9769-2024 tillsynsbegäran mail.docx", "A 9769-2024")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46293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4386-2024 artfynd.xlsx", "A 4386-2024")</f>
        <v/>
      </c>
      <c r="X49">
        <f>HYPERLINK("https://klasma.github.io/Logging_1256/kartor/A 4386-2024 karta.png", "A 4386-2024")</f>
        <v/>
      </c>
      <c r="Y49">
        <f>HYPERLINK("https://klasma.github.io/Logging_1256/kartor_geotiff/A 4386-2024 georefererad karta.tif", "A 4386-2024")</f>
        <v/>
      </c>
      <c r="AA49">
        <f>HYPERLINK("https://klasma.github.io/Logging_1256/klagomål/A 4386-2024 FSC-klagomål.docx", "A 4386-2024")</f>
        <v/>
      </c>
      <c r="AB49">
        <f>HYPERLINK("https://klasma.github.io/Logging_1256/klagomålsmail/A 4386-2024 FSC-klagomål mail.docx", "A 4386-2024")</f>
        <v/>
      </c>
      <c r="AC49">
        <f>HYPERLINK("https://klasma.github.io/Logging_1256/tillsyn/A 4386-2024 tillsynsbegäran.docx", "A 4386-2024")</f>
        <v/>
      </c>
      <c r="AD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46293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Grönsångare</t>
        </is>
      </c>
      <c r="W50">
        <f>HYPERLINK("https://klasma.github.io/Logging_1256/artfynd/A 2695-2022 artfynd.xlsx", "A 2695-2022")</f>
        <v/>
      </c>
      <c r="X50">
        <f>HYPERLINK("https://klasma.github.io/Logging_1256/kartor/A 2695-2022 karta.png", "A 2695-2022")</f>
        <v/>
      </c>
      <c r="Y50">
        <f>HYPERLINK("https://klasma.github.io/Logging_1256/kartor_geotiff/A 2695-2022 georefererad karta.tif", "A 2695-2022")</f>
        <v/>
      </c>
      <c r="AA50">
        <f>HYPERLINK("https://klasma.github.io/Logging_1256/klagomål/A 2695-2022 FSC-klagomål.docx", "A 2695-2022")</f>
        <v/>
      </c>
      <c r="AB50">
        <f>HYPERLINK("https://klasma.github.io/Logging_1256/klagomålsmail/A 2695-2022 FSC-klagomål mail.docx", "A 2695-2022")</f>
        <v/>
      </c>
      <c r="AC50">
        <f>HYPERLINK("https://klasma.github.io/Logging_1256/tillsyn/A 2695-2022 tillsynsbegäran.docx", "A 2695-2022")</f>
        <v/>
      </c>
      <c r="AD50">
        <f>HYPERLINK("https://klasma.github.io/Logging_1256/tillsynsmail/A 2695-2022 tillsynsbegäran mail.docx", "A 2695-2022")</f>
        <v/>
      </c>
      <c r="AE50">
        <f>HYPERLINK("https://klasma.github.io/Logging_1256/fåglar/A 2695-2022 prioriterade fågelarter.docx", "A 2695-2022")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46293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46293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46293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46293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46293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46293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46293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46293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46293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46293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46293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46293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46293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46293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46293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46293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46293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46293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46293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46293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46293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46293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46293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46293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46293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46293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46293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46293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46293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46293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46293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46293</v>
      </c>
      <c r="F83" t="inlineStr">
        <is>
          <t>SKÅNE LÄN</t>
        </is>
      </c>
      <c r="G83" t="inlineStr">
        <is>
          <t>ÖSTRA GÖINGE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46293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46293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44480</v>
      </c>
      <c r="E86" s="1" t="n">
        <v>46293</v>
      </c>
      <c r="F86" t="inlineStr">
        <is>
          <t>SKÅNE LÄN</t>
        </is>
      </c>
      <c r="G86" t="inlineStr">
        <is>
          <t>ÖSTRA GÖINGE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46293</v>
      </c>
      <c r="F87" t="inlineStr">
        <is>
          <t>SKÅNE LÄN</t>
        </is>
      </c>
      <c r="G87" t="inlineStr">
        <is>
          <t>ÖSTRA GÖINGE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46293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40139-2022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44820</v>
      </c>
      <c r="E89" s="1" t="n">
        <v>46293</v>
      </c>
      <c r="F89" t="inlineStr">
        <is>
          <t>SKÅNE LÄN</t>
        </is>
      </c>
      <c r="G89" t="inlineStr">
        <is>
          <t>ÖSTRA GÖINGE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44598</v>
      </c>
      <c r="E90" s="1" t="n">
        <v>46293</v>
      </c>
      <c r="F90" t="inlineStr">
        <is>
          <t>SKÅNE LÄN</t>
        </is>
      </c>
      <c r="G90" t="inlineStr">
        <is>
          <t>ÖSTRA GÖINGE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44578</v>
      </c>
      <c r="E91" s="1" t="n">
        <v>46293</v>
      </c>
      <c r="F91" t="inlineStr">
        <is>
          <t>SKÅNE LÄN</t>
        </is>
      </c>
      <c r="G91" t="inlineStr">
        <is>
          <t>ÖSTRA GÖINGE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74144-2021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46293</v>
      </c>
      <c r="F92" t="inlineStr">
        <is>
          <t>SKÅNE LÄN</t>
        </is>
      </c>
      <c r="G92" t="inlineStr">
        <is>
          <t>ÖSTRA GÖINGE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46293</v>
      </c>
      <c r="F93" t="inlineStr">
        <is>
          <t>SKÅNE LÄN</t>
        </is>
      </c>
      <c r="G93" t="inlineStr">
        <is>
          <t>ÖSTRA GÖINGE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55495-2022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44887</v>
      </c>
      <c r="E94" s="1" t="n">
        <v>46293</v>
      </c>
      <c r="F94" t="inlineStr">
        <is>
          <t>SKÅNE LÄN</t>
        </is>
      </c>
      <c r="G94" t="inlineStr">
        <is>
          <t>ÖSTRA GÖINGE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46293</v>
      </c>
      <c r="F95" t="inlineStr">
        <is>
          <t>SKÅNE LÄN</t>
        </is>
      </c>
      <c r="G95" t="inlineStr">
        <is>
          <t>ÖSTRA GÖINGE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46293</v>
      </c>
      <c r="F96" t="inlineStr">
        <is>
          <t>SKÅNE LÄN</t>
        </is>
      </c>
      <c r="G96" t="inlineStr">
        <is>
          <t>ÖSTRA GÖINGE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46293</v>
      </c>
      <c r="F97" t="inlineStr">
        <is>
          <t>SKÅNE LÄN</t>
        </is>
      </c>
      <c r="G97" t="inlineStr">
        <is>
          <t>ÖSTRA GÖINGE</t>
        </is>
      </c>
      <c r="H97" t="inlineStr">
        <is>
          <t>Kyrkan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24547-2022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46293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46293</v>
      </c>
      <c r="F99" t="inlineStr">
        <is>
          <t>SKÅNE LÄN</t>
        </is>
      </c>
      <c r="G99" t="inlineStr">
        <is>
          <t>ÖSTRA GÖINGE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44700</v>
      </c>
      <c r="E100" s="1" t="n">
        <v>46293</v>
      </c>
      <c r="F100" t="inlineStr">
        <is>
          <t>SKÅNE LÄN</t>
        </is>
      </c>
      <c r="G100" t="inlineStr">
        <is>
          <t>ÖSTRA GÖINGE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74112-2021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46293</v>
      </c>
      <c r="F101" t="inlineStr">
        <is>
          <t>SKÅNE LÄN</t>
        </is>
      </c>
      <c r="G101" t="inlineStr">
        <is>
          <t>ÖSTRA GÖINGE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45227</v>
      </c>
      <c r="E102" s="1" t="n">
        <v>46293</v>
      </c>
      <c r="F102" t="inlineStr">
        <is>
          <t>SKÅNE LÄN</t>
        </is>
      </c>
      <c r="G102" t="inlineStr">
        <is>
          <t>ÖSTRA GÖINGE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44810</v>
      </c>
      <c r="E103" s="1" t="n">
        <v>46293</v>
      </c>
      <c r="F103" t="inlineStr">
        <is>
          <t>SKÅNE LÄN</t>
        </is>
      </c>
      <c r="G103" t="inlineStr">
        <is>
          <t>ÖSTRA GÖINGE</t>
        </is>
      </c>
      <c r="H103" t="inlineStr">
        <is>
          <t>Kyrkan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22081-2023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45069</v>
      </c>
      <c r="E104" s="1" t="n">
        <v>46293</v>
      </c>
      <c r="F104" t="inlineStr">
        <is>
          <t>SKÅNE LÄN</t>
        </is>
      </c>
      <c r="G104" t="inlineStr">
        <is>
          <t>ÖSTRA GÖINGE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46293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45216</v>
      </c>
      <c r="E106" s="1" t="n">
        <v>46293</v>
      </c>
      <c r="F106" t="inlineStr">
        <is>
          <t>SKÅNE LÄN</t>
        </is>
      </c>
      <c r="G106" t="inlineStr">
        <is>
          <t>ÖSTRA GÖINGE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46293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45435</v>
      </c>
      <c r="E108" s="1" t="n">
        <v>46293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46293</v>
      </c>
      <c r="F109" t="inlineStr">
        <is>
          <t>SKÅNE LÄN</t>
        </is>
      </c>
      <c r="G109" t="inlineStr">
        <is>
          <t>ÖSTRA GÖINGE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46293</v>
      </c>
      <c r="F110" t="inlineStr">
        <is>
          <t>SKÅNE LÄN</t>
        </is>
      </c>
      <c r="G110" t="inlineStr">
        <is>
          <t>ÖSTRA GÖINGE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16743-2024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45410</v>
      </c>
      <c r="E111" s="1" t="n">
        <v>46293</v>
      </c>
      <c r="F111" t="inlineStr">
        <is>
          <t>SKÅNE LÄN</t>
        </is>
      </c>
      <c r="G111" t="inlineStr">
        <is>
          <t>ÖSTRA GÖINGE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74094-2021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46293</v>
      </c>
      <c r="F112" t="inlineStr">
        <is>
          <t>SKÅNE LÄN</t>
        </is>
      </c>
      <c r="G112" t="inlineStr">
        <is>
          <t>ÖSTRA GÖINGE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46293</v>
      </c>
      <c r="F113" t="inlineStr">
        <is>
          <t>SKÅNE LÄN</t>
        </is>
      </c>
      <c r="G113" t="inlineStr">
        <is>
          <t>ÖSTRA GÖINGE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34649-2023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46293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46293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46293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62783-2023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46293</v>
      </c>
      <c r="F117" t="inlineStr">
        <is>
          <t>SKÅNE LÄN</t>
        </is>
      </c>
      <c r="G117" t="inlineStr">
        <is>
          <t>ÖSTRA GÖINGE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46293</v>
      </c>
      <c r="F118" t="inlineStr">
        <is>
          <t>SKÅNE LÄN</t>
        </is>
      </c>
      <c r="G118" t="inlineStr">
        <is>
          <t>ÖSTRA GÖINGE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46029</v>
      </c>
      <c r="E119" s="1" t="n">
        <v>46293</v>
      </c>
      <c r="F119" t="inlineStr">
        <is>
          <t>SKÅNE LÄN</t>
        </is>
      </c>
      <c r="G119" t="inlineStr">
        <is>
          <t>ÖSTRA GÖINGE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46293</v>
      </c>
      <c r="F120" t="inlineStr">
        <is>
          <t>SKÅNE LÄN</t>
        </is>
      </c>
      <c r="G120" t="inlineStr">
        <is>
          <t>ÖSTRA GÖINGE</t>
        </is>
      </c>
      <c r="H120" t="inlineStr">
        <is>
          <t>Sveaskog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46293</v>
      </c>
      <c r="F121" t="inlineStr">
        <is>
          <t>SKÅNE LÄN</t>
        </is>
      </c>
      <c r="G121" t="inlineStr">
        <is>
          <t>ÖSTRA GÖINGE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46293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46293</v>
      </c>
      <c r="F123" t="inlineStr">
        <is>
          <t>SKÅNE LÄN</t>
        </is>
      </c>
      <c r="G123" t="inlineStr">
        <is>
          <t>ÖSTRA GÖINGE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46293</v>
      </c>
      <c r="F124" t="inlineStr">
        <is>
          <t>SKÅNE LÄN</t>
        </is>
      </c>
      <c r="G124" t="inlineStr">
        <is>
          <t>ÖSTRA GÖINGE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46293</v>
      </c>
      <c r="F125" t="inlineStr">
        <is>
          <t>SKÅNE LÄN</t>
        </is>
      </c>
      <c r="G125" t="inlineStr">
        <is>
          <t>ÖSTRA GÖINGE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52930-2021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46293</v>
      </c>
      <c r="F126" t="inlineStr">
        <is>
          <t>SKÅNE LÄN</t>
        </is>
      </c>
      <c r="G126" t="inlineStr">
        <is>
          <t>ÖSTRA GÖINGE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46030</v>
      </c>
      <c r="E127" s="1" t="n">
        <v>46293</v>
      </c>
      <c r="F127" t="inlineStr">
        <is>
          <t>SKÅNE LÄN</t>
        </is>
      </c>
      <c r="G127" t="inlineStr">
        <is>
          <t>ÖSTRA GÖINGE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46029</v>
      </c>
      <c r="E128" s="1" t="n">
        <v>46293</v>
      </c>
      <c r="F128" t="inlineStr">
        <is>
          <t>SKÅNE LÄN</t>
        </is>
      </c>
      <c r="G128" t="inlineStr">
        <is>
          <t>ÖSTRA GÖINGE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46029</v>
      </c>
      <c r="E129" s="1" t="n">
        <v>46293</v>
      </c>
      <c r="F129" t="inlineStr">
        <is>
          <t>SKÅNE LÄN</t>
        </is>
      </c>
      <c r="G129" t="inlineStr">
        <is>
          <t>ÖSTRA GÖINGE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46293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46293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45797</v>
      </c>
      <c r="E132" s="1" t="n">
        <v>46293</v>
      </c>
      <c r="F132" t="inlineStr">
        <is>
          <t>SKÅNE LÄN</t>
        </is>
      </c>
      <c r="G132" t="inlineStr">
        <is>
          <t>ÖSTRA GÖINGE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46293</v>
      </c>
      <c r="F133" t="inlineStr">
        <is>
          <t>SKÅNE LÄN</t>
        </is>
      </c>
      <c r="G133" t="inlineStr">
        <is>
          <t>ÖSTRA GÖINGE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45278</v>
      </c>
      <c r="E134" s="1" t="n">
        <v>46293</v>
      </c>
      <c r="F134" t="inlineStr">
        <is>
          <t>SKÅNE LÄN</t>
        </is>
      </c>
      <c r="G134" t="inlineStr">
        <is>
          <t>ÖSTRA GÖINGE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45572-2022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44845</v>
      </c>
      <c r="E135" s="1" t="n">
        <v>46293</v>
      </c>
      <c r="F135" t="inlineStr">
        <is>
          <t>SKÅNE LÄN</t>
        </is>
      </c>
      <c r="G135" t="inlineStr">
        <is>
          <t>ÖSTRA GÖINGE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69375-2021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44531</v>
      </c>
      <c r="E136" s="1" t="n">
        <v>46293</v>
      </c>
      <c r="F136" t="inlineStr">
        <is>
          <t>SKÅNE LÄN</t>
        </is>
      </c>
      <c r="G136" t="inlineStr">
        <is>
          <t>ÖSTRA GÖINGE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46293</v>
      </c>
      <c r="F137" t="inlineStr">
        <is>
          <t>SKÅNE LÄN</t>
        </is>
      </c>
      <c r="G137" t="inlineStr">
        <is>
          <t>ÖSTRA GÖINGE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46042</v>
      </c>
      <c r="E138" s="1" t="n">
        <v>46293</v>
      </c>
      <c r="F138" t="inlineStr">
        <is>
          <t>SKÅNE LÄN</t>
        </is>
      </c>
      <c r="G138" t="inlineStr">
        <is>
          <t>ÖSTRA GÖINGE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44887</v>
      </c>
      <c r="E139" s="1" t="n">
        <v>46293</v>
      </c>
      <c r="F139" t="inlineStr">
        <is>
          <t>SKÅNE LÄN</t>
        </is>
      </c>
      <c r="G139" t="inlineStr">
        <is>
          <t>ÖSTRA GÖINGE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46293</v>
      </c>
      <c r="F140" t="inlineStr">
        <is>
          <t>SKÅNE LÄN</t>
        </is>
      </c>
      <c r="G140" t="inlineStr">
        <is>
          <t>ÖSTRA GÖINGE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44992</v>
      </c>
      <c r="E141" s="1" t="n">
        <v>46293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46293</v>
      </c>
      <c r="F142" t="inlineStr">
        <is>
          <t>SKÅNE LÄN</t>
        </is>
      </c>
      <c r="G142" t="inlineStr">
        <is>
          <t>ÖSTRA GÖINGE</t>
        </is>
      </c>
      <c r="H142" t="inlineStr">
        <is>
          <t>Kyrkan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44929</v>
      </c>
      <c r="E143" s="1" t="n">
        <v>46293</v>
      </c>
      <c r="F143" t="inlineStr">
        <is>
          <t>SKÅNE LÄN</t>
        </is>
      </c>
      <c r="G143" t="inlineStr">
        <is>
          <t>ÖSTRA GÖINGE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45896</v>
      </c>
      <c r="E144" s="1" t="n">
        <v>46293</v>
      </c>
      <c r="F144" t="inlineStr">
        <is>
          <t>SKÅNE LÄN</t>
        </is>
      </c>
      <c r="G144" t="inlineStr">
        <is>
          <t>ÖSTRA GÖINGE</t>
        </is>
      </c>
      <c r="H144" t="inlineStr">
        <is>
          <t>Kyrkan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45530</v>
      </c>
      <c r="E145" s="1" t="n">
        <v>46293</v>
      </c>
      <c r="F145" t="inlineStr">
        <is>
          <t>SKÅNE LÄN</t>
        </is>
      </c>
      <c r="G145" t="inlineStr">
        <is>
          <t>ÖSTRA GÖINGE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45362</v>
      </c>
      <c r="E146" s="1" t="n">
        <v>46293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46293</v>
      </c>
      <c r="F147" t="inlineStr">
        <is>
          <t>SKÅNE LÄN</t>
        </is>
      </c>
      <c r="G147" t="inlineStr">
        <is>
          <t>ÖSTRA GÖINGE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46293</v>
      </c>
      <c r="F148" t="inlineStr">
        <is>
          <t>SKÅNE LÄN</t>
        </is>
      </c>
      <c r="G148" t="inlineStr">
        <is>
          <t>ÖSTRA GÖINGE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46293</v>
      </c>
      <c r="F149" t="inlineStr">
        <is>
          <t>SKÅNE LÄN</t>
        </is>
      </c>
      <c r="G149" t="inlineStr">
        <is>
          <t>ÖSTRA GÖINGE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46058</v>
      </c>
      <c r="E150" s="1" t="n">
        <v>46293</v>
      </c>
      <c r="F150" t="inlineStr">
        <is>
          <t>SKÅNE LÄN</t>
        </is>
      </c>
      <c r="G150" t="inlineStr">
        <is>
          <t>ÖSTRA GÖINGE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7057-2026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46057</v>
      </c>
      <c r="E151" s="1" t="n">
        <v>46293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46293</v>
      </c>
      <c r="F152" t="inlineStr">
        <is>
          <t>SKÅNE LÄN</t>
        </is>
      </c>
      <c r="G152" t="inlineStr">
        <is>
          <t>ÖSTRA GÖINGE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44789-2025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45918</v>
      </c>
      <c r="E153" s="1" t="n">
        <v>46293</v>
      </c>
      <c r="F153" t="inlineStr">
        <is>
          <t>SKÅNE LÄN</t>
        </is>
      </c>
      <c r="G153" t="inlineStr">
        <is>
          <t>ÖSTRA GÖINGE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44910</v>
      </c>
      <c r="E154" s="1" t="n">
        <v>46293</v>
      </c>
      <c r="F154" t="inlineStr">
        <is>
          <t>SKÅNE LÄN</t>
        </is>
      </c>
      <c r="G154" t="inlineStr">
        <is>
          <t>ÖSTRA GÖINGE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46293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45489</v>
      </c>
      <c r="E156" s="1" t="n">
        <v>46293</v>
      </c>
      <c r="F156" t="inlineStr">
        <is>
          <t>SKÅNE LÄN</t>
        </is>
      </c>
      <c r="G156" t="inlineStr">
        <is>
          <t>ÖSTRA GÖINGE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46293</v>
      </c>
      <c r="F157" t="inlineStr">
        <is>
          <t>SKÅNE LÄN</t>
        </is>
      </c>
      <c r="G157" t="inlineStr">
        <is>
          <t>ÖSTRA GÖINGE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46293</v>
      </c>
      <c r="F158" t="inlineStr">
        <is>
          <t>SKÅNE LÄN</t>
        </is>
      </c>
      <c r="G158" t="inlineStr">
        <is>
          <t>ÖSTRA GÖINGE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44949</v>
      </c>
      <c r="E159" s="1" t="n">
        <v>46293</v>
      </c>
      <c r="F159" t="inlineStr">
        <is>
          <t>SKÅNE LÄN</t>
        </is>
      </c>
      <c r="G159" t="inlineStr">
        <is>
          <t>ÖSTRA GÖINGE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46293</v>
      </c>
      <c r="F160" t="inlineStr">
        <is>
          <t>SKÅNE LÄN</t>
        </is>
      </c>
      <c r="G160" t="inlineStr">
        <is>
          <t>ÖSTRA GÖINGE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46293</v>
      </c>
      <c r="F161" t="inlineStr">
        <is>
          <t>SKÅNE LÄN</t>
        </is>
      </c>
      <c r="G161" t="inlineStr">
        <is>
          <t>ÖSTRA GÖINGE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45568</v>
      </c>
      <c r="E162" s="1" t="n">
        <v>46293</v>
      </c>
      <c r="F162" t="inlineStr">
        <is>
          <t>SKÅNE LÄN</t>
        </is>
      </c>
      <c r="G162" t="inlineStr">
        <is>
          <t>ÖSTRA GÖINGE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55489-2022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44887</v>
      </c>
      <c r="E163" s="1" t="n">
        <v>46293</v>
      </c>
      <c r="F163" t="inlineStr">
        <is>
          <t>SKÅNE LÄN</t>
        </is>
      </c>
      <c r="G163" t="inlineStr">
        <is>
          <t>ÖSTRA GÖINGE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46293</v>
      </c>
      <c r="F164" t="inlineStr">
        <is>
          <t>SKÅNE LÄN</t>
        </is>
      </c>
      <c r="G164" t="inlineStr">
        <is>
          <t>ÖSTRA GÖINGE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45856</v>
      </c>
      <c r="E165" s="1" t="n">
        <v>46293</v>
      </c>
      <c r="F165" t="inlineStr">
        <is>
          <t>SKÅNE LÄN</t>
        </is>
      </c>
      <c r="G165" t="inlineStr">
        <is>
          <t>ÖSTRA GÖINGE</t>
        </is>
      </c>
      <c r="I165" t="n">
        <v>11.9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45856</v>
      </c>
      <c r="E166" s="1" t="n">
        <v>46293</v>
      </c>
      <c r="F166" t="inlineStr">
        <is>
          <t>SKÅNE LÄN</t>
        </is>
      </c>
      <c r="G166" t="inlineStr">
        <is>
          <t>ÖSTRA GÖINGE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46293</v>
      </c>
      <c r="F167" t="inlineStr">
        <is>
          <t>SKÅNE LÄN</t>
        </is>
      </c>
      <c r="G167" t="inlineStr">
        <is>
          <t>ÖSTRA GÖINGE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46084</v>
      </c>
      <c r="E168" s="1" t="n">
        <v>46293</v>
      </c>
      <c r="F168" t="inlineStr">
        <is>
          <t>SKÅNE LÄN</t>
        </is>
      </c>
      <c r="G168" t="inlineStr">
        <is>
          <t>ÖSTRA GÖINGE</t>
        </is>
      </c>
      <c r="I168" t="n">
        <v>7.4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46293</v>
      </c>
      <c r="F169" t="inlineStr">
        <is>
          <t>SKÅNE LÄN</t>
        </is>
      </c>
      <c r="G169" t="inlineStr">
        <is>
          <t>ÖSTRA GÖINGE</t>
        </is>
      </c>
      <c r="I169" t="n">
        <v>12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46293</v>
      </c>
      <c r="F170" t="inlineStr">
        <is>
          <t>SKÅNE LÄN</t>
        </is>
      </c>
      <c r="G170" t="inlineStr">
        <is>
          <t>ÖSTRA GÖINGE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45935</v>
      </c>
      <c r="E171" s="1" t="n">
        <v>46293</v>
      </c>
      <c r="F171" t="inlineStr">
        <is>
          <t>SKÅNE LÄN</t>
        </is>
      </c>
      <c r="G171" t="inlineStr">
        <is>
          <t>ÖSTRA GÖINGE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44937</v>
      </c>
      <c r="E172" s="1" t="n">
        <v>46293</v>
      </c>
      <c r="F172" t="inlineStr">
        <is>
          <t>SKÅNE LÄN</t>
        </is>
      </c>
      <c r="G172" t="inlineStr">
        <is>
          <t>ÖSTRA GÖINGE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46293</v>
      </c>
      <c r="F173" t="inlineStr">
        <is>
          <t>SKÅNE LÄN</t>
        </is>
      </c>
      <c r="G173" t="inlineStr">
        <is>
          <t>ÖSTRA GÖINGE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34931-2023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45142</v>
      </c>
      <c r="E174" s="1" t="n">
        <v>46293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44930</v>
      </c>
      <c r="E175" s="1" t="n">
        <v>46293</v>
      </c>
      <c r="F175" t="inlineStr">
        <is>
          <t>SKÅNE LÄN</t>
        </is>
      </c>
      <c r="G175" t="inlineStr">
        <is>
          <t>ÖSTRA GÖINGE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46293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46293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46293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46293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36324-2022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44803</v>
      </c>
      <c r="E180" s="1" t="n">
        <v>46293</v>
      </c>
      <c r="F180" t="inlineStr">
        <is>
          <t>SKÅNE LÄN</t>
        </is>
      </c>
      <c r="G180" t="inlineStr">
        <is>
          <t>ÖSTRA GÖINGE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46293</v>
      </c>
      <c r="F181" t="inlineStr">
        <is>
          <t>SKÅNE LÄN</t>
        </is>
      </c>
      <c r="G181" t="inlineStr">
        <is>
          <t>ÖSTRA GÖINGE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45256</v>
      </c>
      <c r="E182" s="1" t="n">
        <v>46293</v>
      </c>
      <c r="F182" t="inlineStr">
        <is>
          <t>SKÅNE LÄN</t>
        </is>
      </c>
      <c r="G182" t="inlineStr">
        <is>
          <t>ÖSTRA GÖINGE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46293</v>
      </c>
      <c r="F183" t="inlineStr">
        <is>
          <t>SKÅNE LÄN</t>
        </is>
      </c>
      <c r="G183" t="inlineStr">
        <is>
          <t>ÖSTRA GÖINGE</t>
        </is>
      </c>
      <c r="H183" t="inlineStr">
        <is>
          <t>Sveaskog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46293</v>
      </c>
      <c r="F184" t="inlineStr">
        <is>
          <t>SKÅNE LÄN</t>
        </is>
      </c>
      <c r="G184" t="inlineStr">
        <is>
          <t>ÖSTRA GÖINGE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46293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46293</v>
      </c>
      <c r="F186" t="inlineStr">
        <is>
          <t>SKÅNE LÄN</t>
        </is>
      </c>
      <c r="G186" t="inlineStr">
        <is>
          <t>ÖSTRA GÖINGE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46293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46293</v>
      </c>
      <c r="F188" t="inlineStr">
        <is>
          <t>SKÅNE LÄN</t>
        </is>
      </c>
      <c r="G188" t="inlineStr">
        <is>
          <t>ÖSTRA GÖINGE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46293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46293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46293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46293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46293</v>
      </c>
      <c r="F193" t="inlineStr">
        <is>
          <t>SKÅNE LÄN</t>
        </is>
      </c>
      <c r="G193" t="inlineStr">
        <is>
          <t>ÖSTRA GÖINGE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45970</v>
      </c>
      <c r="E194" s="1" t="n">
        <v>46293</v>
      </c>
      <c r="F194" t="inlineStr">
        <is>
          <t>SKÅNE LÄN</t>
        </is>
      </c>
      <c r="G194" t="inlineStr">
        <is>
          <t>ÖSTRA GÖINGE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46293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46293</v>
      </c>
      <c r="F196" t="inlineStr">
        <is>
          <t>SKÅNE LÄN</t>
        </is>
      </c>
      <c r="G196" t="inlineStr">
        <is>
          <t>ÖSTRA GÖINGE</t>
        </is>
      </c>
      <c r="H196" t="inlineStr">
        <is>
          <t>Sveaskog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46293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46132</v>
      </c>
      <c r="E198" s="1" t="n">
        <v>46293</v>
      </c>
      <c r="F198" t="inlineStr">
        <is>
          <t>SKÅNE LÄN</t>
        </is>
      </c>
      <c r="G198" t="inlineStr">
        <is>
          <t>ÖSTRA GÖINGE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45975</v>
      </c>
      <c r="E199" s="1" t="n">
        <v>46293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19045-2026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46132</v>
      </c>
      <c r="E200" s="1" t="n">
        <v>46293</v>
      </c>
      <c r="F200" t="inlineStr">
        <is>
          <t>SKÅNE LÄN</t>
        </is>
      </c>
      <c r="G200" t="inlineStr">
        <is>
          <t>ÖSTRA GÖINGE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46293</v>
      </c>
      <c r="F201" t="inlineStr">
        <is>
          <t>SKÅNE LÄN</t>
        </is>
      </c>
      <c r="G201" t="inlineStr">
        <is>
          <t>ÖSTRA GÖINGE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19192-2026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46132</v>
      </c>
      <c r="E202" s="1" t="n">
        <v>46293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19231-2026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46132</v>
      </c>
      <c r="E203" s="1" t="n">
        <v>46293</v>
      </c>
      <c r="F203" t="inlineStr">
        <is>
          <t>SKÅNE LÄN</t>
        </is>
      </c>
      <c r="G203" t="inlineStr">
        <is>
          <t>ÖSTRA GÖINGE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46132</v>
      </c>
      <c r="E204" s="1" t="n">
        <v>46293</v>
      </c>
      <c r="F204" t="inlineStr">
        <is>
          <t>SKÅNE LÄN</t>
        </is>
      </c>
      <c r="G204" t="inlineStr">
        <is>
          <t>ÖSTRA GÖINGE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46293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46293</v>
      </c>
      <c r="F206" t="inlineStr">
        <is>
          <t>SKÅNE LÄN</t>
        </is>
      </c>
      <c r="G206" t="inlineStr">
        <is>
          <t>ÖSTRA GÖINGE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46293</v>
      </c>
      <c r="F207" t="inlineStr">
        <is>
          <t>SKÅNE LÄN</t>
        </is>
      </c>
      <c r="G207" t="inlineStr">
        <is>
          <t>ÖSTRA GÖINGE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50370-2024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46293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19297-2026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46293</v>
      </c>
      <c r="F209" t="inlineStr">
        <is>
          <t>SKÅNE LÄN</t>
        </is>
      </c>
      <c r="G209" t="inlineStr">
        <is>
          <t>ÖSTRA GÖINGE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46293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46293</v>
      </c>
      <c r="F211" t="inlineStr">
        <is>
          <t>SKÅNE LÄN</t>
        </is>
      </c>
      <c r="G211" t="inlineStr">
        <is>
          <t>ÖSTRA GÖINGE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46293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45804</v>
      </c>
      <c r="E213" s="1" t="n">
        <v>46293</v>
      </c>
      <c r="F213" t="inlineStr">
        <is>
          <t>SKÅNE LÄN</t>
        </is>
      </c>
      <c r="G213" t="inlineStr">
        <is>
          <t>ÖSTRA GÖINGE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46293</v>
      </c>
      <c r="F214" t="inlineStr">
        <is>
          <t>SKÅNE LÄN</t>
        </is>
      </c>
      <c r="G214" t="inlineStr">
        <is>
          <t>ÖSTRA GÖINGE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46293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46293</v>
      </c>
      <c r="F216" t="inlineStr">
        <is>
          <t>SKÅNE LÄN</t>
        </is>
      </c>
      <c r="G216" t="inlineStr">
        <is>
          <t>ÖSTRA GÖINGE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46293</v>
      </c>
      <c r="F217" t="inlineStr">
        <is>
          <t>SKÅNE LÄN</t>
        </is>
      </c>
      <c r="G217" t="inlineStr">
        <is>
          <t>ÖSTRA GÖINGE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46293</v>
      </c>
      <c r="F218" t="inlineStr">
        <is>
          <t>SKÅNE LÄN</t>
        </is>
      </c>
      <c r="G218" t="inlineStr">
        <is>
          <t>ÖSTRA GÖINGE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46293</v>
      </c>
      <c r="F219" t="inlineStr">
        <is>
          <t>SKÅNE LÄN</t>
        </is>
      </c>
      <c r="G219" t="inlineStr">
        <is>
          <t>ÖSTRA GÖINGE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60018-2025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46293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45147</v>
      </c>
      <c r="E221" s="1" t="n">
        <v>46293</v>
      </c>
      <c r="F221" t="inlineStr">
        <is>
          <t>SKÅNE LÄN</t>
        </is>
      </c>
      <c r="G221" t="inlineStr">
        <is>
          <t>ÖSTRA GÖINGE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46293</v>
      </c>
      <c r="F222" t="inlineStr">
        <is>
          <t>SKÅNE LÄN</t>
        </is>
      </c>
      <c r="G222" t="inlineStr">
        <is>
          <t>ÖSTRA GÖINGE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45939</v>
      </c>
      <c r="E223" s="1" t="n">
        <v>46293</v>
      </c>
      <c r="F223" t="inlineStr">
        <is>
          <t>SKÅNE LÄN</t>
        </is>
      </c>
      <c r="G223" t="inlineStr">
        <is>
          <t>ÖSTRA GÖINGE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45022</v>
      </c>
      <c r="E224" s="1" t="n">
        <v>46293</v>
      </c>
      <c r="F224" t="inlineStr">
        <is>
          <t>SKÅNE LÄN</t>
        </is>
      </c>
      <c r="G224" t="inlineStr">
        <is>
          <t>ÖSTRA GÖINGE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46293</v>
      </c>
      <c r="F225" t="inlineStr">
        <is>
          <t>SKÅNE LÄN</t>
        </is>
      </c>
      <c r="G225" t="inlineStr">
        <is>
          <t>ÖSTRA GÖINGE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45820</v>
      </c>
      <c r="E226" s="1" t="n">
        <v>46293</v>
      </c>
      <c r="F226" t="inlineStr">
        <is>
          <t>SKÅNE LÄN</t>
        </is>
      </c>
      <c r="G226" t="inlineStr">
        <is>
          <t>ÖSTRA GÖINGE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46293</v>
      </c>
      <c r="F227" t="inlineStr">
        <is>
          <t>SKÅNE LÄN</t>
        </is>
      </c>
      <c r="G227" t="inlineStr">
        <is>
          <t>ÖSTRA GÖINGE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46293</v>
      </c>
      <c r="F228" t="inlineStr">
        <is>
          <t>SKÅNE LÄN</t>
        </is>
      </c>
      <c r="G228" t="inlineStr">
        <is>
          <t>ÖSTRA GÖINGE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46293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45583</v>
      </c>
      <c r="E230" s="1" t="n">
        <v>46293</v>
      </c>
      <c r="F230" t="inlineStr">
        <is>
          <t>SKÅNE LÄN</t>
        </is>
      </c>
      <c r="G230" t="inlineStr">
        <is>
          <t>ÖSTRA GÖINGE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46293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45821</v>
      </c>
      <c r="E232" s="1" t="n">
        <v>46293</v>
      </c>
      <c r="F232" t="inlineStr">
        <is>
          <t>SKÅNE LÄN</t>
        </is>
      </c>
      <c r="G232" t="inlineStr">
        <is>
          <t>ÖSTRA GÖINGE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46293</v>
      </c>
      <c r="F233" t="inlineStr">
        <is>
          <t>SKÅNE LÄN</t>
        </is>
      </c>
      <c r="G233" t="inlineStr">
        <is>
          <t>ÖSTRA GÖINGE</t>
        </is>
      </c>
      <c r="I233" t="n">
        <v>10.6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46293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47584-2023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46293</v>
      </c>
      <c r="F235" t="inlineStr">
        <is>
          <t>SKÅNE LÄN</t>
        </is>
      </c>
      <c r="G235" t="inlineStr">
        <is>
          <t>ÖSTRA GÖINGE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55140-2022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44886</v>
      </c>
      <c r="E236" s="1" t="n">
        <v>46293</v>
      </c>
      <c r="F236" t="inlineStr">
        <is>
          <t>SKÅNE LÄN</t>
        </is>
      </c>
      <c r="G236" t="inlineStr">
        <is>
          <t>ÖSTRA GÖINGE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46293</v>
      </c>
      <c r="F237" t="inlineStr">
        <is>
          <t>SKÅNE LÄN</t>
        </is>
      </c>
      <c r="G237" t="inlineStr">
        <is>
          <t>ÖSTRA GÖINGE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37056-2024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45539</v>
      </c>
      <c r="E238" s="1" t="n">
        <v>46293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46293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46293</v>
      </c>
      <c r="F240" t="inlineStr">
        <is>
          <t>SKÅNE LÄN</t>
        </is>
      </c>
      <c r="G240" t="inlineStr">
        <is>
          <t>ÖSTRA GÖINGE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46293</v>
      </c>
      <c r="F241" t="inlineStr">
        <is>
          <t>SKÅNE LÄN</t>
        </is>
      </c>
      <c r="G241" t="inlineStr">
        <is>
          <t>ÖSTRA GÖINGE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44918</v>
      </c>
      <c r="E242" s="1" t="n">
        <v>46293</v>
      </c>
      <c r="F242" t="inlineStr">
        <is>
          <t>SKÅNE LÄN</t>
        </is>
      </c>
      <c r="G242" t="inlineStr">
        <is>
          <t>ÖSTRA GÖINGE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46293</v>
      </c>
      <c r="F243" t="inlineStr">
        <is>
          <t>SKÅNE LÄN</t>
        </is>
      </c>
      <c r="G243" t="inlineStr">
        <is>
          <t>ÖSTRA GÖINGE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46293</v>
      </c>
      <c r="F244" t="inlineStr">
        <is>
          <t>SKÅNE LÄN</t>
        </is>
      </c>
      <c r="G244" t="inlineStr">
        <is>
          <t>ÖSTRA GÖINGE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22081-2023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46293</v>
      </c>
      <c r="F245" t="inlineStr">
        <is>
          <t>SKÅNE LÄN</t>
        </is>
      </c>
      <c r="G245" t="inlineStr">
        <is>
          <t>ÖSTRA GÖINGE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25933-2023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46293</v>
      </c>
      <c r="F246" t="inlineStr">
        <is>
          <t>SKÅNE LÄN</t>
        </is>
      </c>
      <c r="G246" t="inlineStr">
        <is>
          <t>ÖSTRA GÖINGE</t>
        </is>
      </c>
      <c r="I246" t="n">
        <v>12.8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21260-2026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46147</v>
      </c>
      <c r="E247" s="1" t="n">
        <v>46293</v>
      </c>
      <c r="F247" t="inlineStr">
        <is>
          <t>SKÅNE LÄN</t>
        </is>
      </c>
      <c r="G247" t="inlineStr">
        <is>
          <t>ÖSTRA GÖINGE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44929</v>
      </c>
      <c r="E248" s="1" t="n">
        <v>46293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46293</v>
      </c>
      <c r="F249" t="inlineStr">
        <is>
          <t>SKÅNE LÄN</t>
        </is>
      </c>
      <c r="G249" t="inlineStr">
        <is>
          <t>ÖSTRA GÖINGE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46293</v>
      </c>
      <c r="F250" t="inlineStr">
        <is>
          <t>SKÅNE LÄN</t>
        </is>
      </c>
      <c r="G250" t="inlineStr">
        <is>
          <t>ÖSTRA GÖINGE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45541</v>
      </c>
      <c r="E251" s="1" t="n">
        <v>46293</v>
      </c>
      <c r="F251" t="inlineStr">
        <is>
          <t>SKÅNE LÄN</t>
        </is>
      </c>
      <c r="G251" t="inlineStr">
        <is>
          <t>ÖSTRA GÖINGE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46293</v>
      </c>
      <c r="F252" t="inlineStr">
        <is>
          <t>SKÅNE LÄN</t>
        </is>
      </c>
      <c r="G252" t="inlineStr">
        <is>
          <t>ÖSTRA GÖINGE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46293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26339-2023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45091</v>
      </c>
      <c r="E254" s="1" t="n">
        <v>46293</v>
      </c>
      <c r="F254" t="inlineStr">
        <is>
          <t>SKÅNE LÄN</t>
        </is>
      </c>
      <c r="G254" t="inlineStr">
        <is>
          <t>ÖSTRA GÖINGE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46293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31823-2025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45834</v>
      </c>
      <c r="E256" s="1" t="n">
        <v>46293</v>
      </c>
      <c r="F256" t="inlineStr">
        <is>
          <t>SKÅNE LÄN</t>
        </is>
      </c>
      <c r="G256" t="inlineStr">
        <is>
          <t>ÖSTRA GÖINGE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46293</v>
      </c>
      <c r="F257" t="inlineStr">
        <is>
          <t>SKÅNE LÄN</t>
        </is>
      </c>
      <c r="G257" t="inlineStr">
        <is>
          <t>ÖSTRA GÖINGE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45574</v>
      </c>
      <c r="E258" s="1" t="n">
        <v>46293</v>
      </c>
      <c r="F258" t="inlineStr">
        <is>
          <t>SKÅNE LÄN</t>
        </is>
      </c>
      <c r="G258" t="inlineStr">
        <is>
          <t>ÖSTRA GÖINGE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46293</v>
      </c>
      <c r="F259" t="inlineStr">
        <is>
          <t>SKÅNE LÄN</t>
        </is>
      </c>
      <c r="G259" t="inlineStr">
        <is>
          <t>ÖSTRA GÖINGE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69384-2021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44531</v>
      </c>
      <c r="E260" s="1" t="n">
        <v>46293</v>
      </c>
      <c r="F260" t="inlineStr">
        <is>
          <t>SKÅNE LÄN</t>
        </is>
      </c>
      <c r="G260" t="inlineStr">
        <is>
          <t>ÖSTRA GÖINGE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46293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46293</v>
      </c>
      <c r="F262" t="inlineStr">
        <is>
          <t>SKÅNE LÄN</t>
        </is>
      </c>
      <c r="G262" t="inlineStr">
        <is>
          <t>ÖSTRA GÖINGE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60780-2022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44914</v>
      </c>
      <c r="E263" s="1" t="n">
        <v>46293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46293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46293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46293</v>
      </c>
      <c r="F266" t="inlineStr">
        <is>
          <t>SKÅNE LÄN</t>
        </is>
      </c>
      <c r="G266" t="inlineStr">
        <is>
          <t>ÖSTRA GÖINGE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45733</v>
      </c>
      <c r="E267" s="1" t="n">
        <v>46293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46293</v>
      </c>
      <c r="F268" t="inlineStr">
        <is>
          <t>SKÅNE LÄN</t>
        </is>
      </c>
      <c r="G268" t="inlineStr">
        <is>
          <t>ÖSTRA GÖINGE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71741-2021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44539</v>
      </c>
      <c r="E269" s="1" t="n">
        <v>46293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46293</v>
      </c>
      <c r="F270" t="inlineStr">
        <is>
          <t>SKÅNE LÄN</t>
        </is>
      </c>
      <c r="G270" t="inlineStr">
        <is>
          <t>ÖSTRA GÖINGE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15057-2023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46293</v>
      </c>
      <c r="F271" t="inlineStr">
        <is>
          <t>SKÅNE LÄN</t>
        </is>
      </c>
      <c r="G271" t="inlineStr">
        <is>
          <t>ÖSTRA GÖINGE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45078</v>
      </c>
      <c r="E272" s="1" t="n">
        <v>46293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46293</v>
      </c>
      <c r="F273" t="inlineStr">
        <is>
          <t>SKÅNE LÄN</t>
        </is>
      </c>
      <c r="G273" t="inlineStr">
        <is>
          <t>ÖSTRA GÖINGE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23596-2026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46293</v>
      </c>
      <c r="F274" t="inlineStr">
        <is>
          <t>SKÅNE LÄN</t>
        </is>
      </c>
      <c r="G274" t="inlineStr">
        <is>
          <t>ÖSTRA GÖINGE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46293</v>
      </c>
      <c r="F275" t="inlineStr">
        <is>
          <t>SKÅNE LÄN</t>
        </is>
      </c>
      <c r="G275" t="inlineStr">
        <is>
          <t>ÖSTRA GÖINGE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46293</v>
      </c>
      <c r="F276" t="inlineStr">
        <is>
          <t>SKÅNE LÄN</t>
        </is>
      </c>
      <c r="G276" t="inlineStr">
        <is>
          <t>ÖSTRA GÖINGE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45848</v>
      </c>
      <c r="E277" s="1" t="n">
        <v>46293</v>
      </c>
      <c r="F277" t="inlineStr">
        <is>
          <t>SKÅNE LÄN</t>
        </is>
      </c>
      <c r="G277" t="inlineStr">
        <is>
          <t>ÖSTRA GÖINGE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45667</v>
      </c>
      <c r="E278" s="1" t="n">
        <v>46293</v>
      </c>
      <c r="F278" t="inlineStr">
        <is>
          <t>SKÅNE LÄN</t>
        </is>
      </c>
      <c r="G278" t="inlineStr">
        <is>
          <t>ÖSTRA GÖINGE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46293</v>
      </c>
      <c r="F279" t="inlineStr">
        <is>
          <t>SKÅNE LÄN</t>
        </is>
      </c>
      <c r="G279" t="inlineStr">
        <is>
          <t>ÖSTRA GÖINGE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55716-2024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45622</v>
      </c>
      <c r="E280" s="1" t="n">
        <v>46293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46293</v>
      </c>
      <c r="F281" t="inlineStr">
        <is>
          <t>SKÅNE LÄN</t>
        </is>
      </c>
      <c r="G281" t="inlineStr">
        <is>
          <t>ÖSTRA GÖINGE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46293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45636</v>
      </c>
      <c r="E283" s="1" t="n">
        <v>46293</v>
      </c>
      <c r="F283" t="inlineStr">
        <is>
          <t>SKÅNE LÄN</t>
        </is>
      </c>
      <c r="G283" t="inlineStr">
        <is>
          <t>ÖSTRA GÖINGE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44956</v>
      </c>
      <c r="E284" s="1" t="n">
        <v>46293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46293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45267</v>
      </c>
      <c r="E286" s="1" t="n">
        <v>46293</v>
      </c>
      <c r="F286" t="inlineStr">
        <is>
          <t>SKÅNE LÄN</t>
        </is>
      </c>
      <c r="G286" t="inlineStr">
        <is>
          <t>ÖSTRA GÖINGE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45243</v>
      </c>
      <c r="E287" s="1" t="n">
        <v>46293</v>
      </c>
      <c r="F287" t="inlineStr">
        <is>
          <t>SKÅNE LÄN</t>
        </is>
      </c>
      <c r="G287" t="inlineStr">
        <is>
          <t>ÖSTRA GÖINGE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46293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44585</v>
      </c>
      <c r="E289" s="1" t="n">
        <v>46293</v>
      </c>
      <c r="F289" t="inlineStr">
        <is>
          <t>SKÅNE LÄN</t>
        </is>
      </c>
      <c r="G289" t="inlineStr">
        <is>
          <t>ÖSTRA GÖINGE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45029</v>
      </c>
      <c r="E290" s="1" t="n">
        <v>46293</v>
      </c>
      <c r="F290" t="inlineStr">
        <is>
          <t>SKÅNE LÄN</t>
        </is>
      </c>
      <c r="G290" t="inlineStr">
        <is>
          <t>ÖSTRA GÖINGE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46293</v>
      </c>
      <c r="F291" t="inlineStr">
        <is>
          <t>SKÅNE LÄN</t>
        </is>
      </c>
      <c r="G291" t="inlineStr">
        <is>
          <t>ÖSTRA GÖINGE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46293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45538</v>
      </c>
      <c r="E293" s="1" t="n">
        <v>46293</v>
      </c>
      <c r="F293" t="inlineStr">
        <is>
          <t>SKÅNE LÄN</t>
        </is>
      </c>
      <c r="G293" t="inlineStr">
        <is>
          <t>ÖSTRA GÖINGE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35547-2023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45146</v>
      </c>
      <c r="E294" s="1" t="n">
        <v>46293</v>
      </c>
      <c r="F294" t="inlineStr">
        <is>
          <t>SKÅNE LÄN</t>
        </is>
      </c>
      <c r="G294" t="inlineStr">
        <is>
          <t>ÖSTRA GÖINGE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46293</v>
      </c>
      <c r="F295" t="inlineStr">
        <is>
          <t>SKÅNE LÄN</t>
        </is>
      </c>
      <c r="G295" t="inlineStr">
        <is>
          <t>ÖSTRA GÖINGE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46293</v>
      </c>
      <c r="F296" t="inlineStr">
        <is>
          <t>SKÅNE LÄN</t>
        </is>
      </c>
      <c r="G296" t="inlineStr">
        <is>
          <t>ÖSTRA GÖINGE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46293</v>
      </c>
      <c r="F297" t="inlineStr">
        <is>
          <t>SKÅNE LÄN</t>
        </is>
      </c>
      <c r="G297" t="inlineStr">
        <is>
          <t>ÖSTRA GÖINGE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45758</v>
      </c>
      <c r="E298" s="1" t="n">
        <v>46293</v>
      </c>
      <c r="F298" t="inlineStr">
        <is>
          <t>SKÅNE LÄN</t>
        </is>
      </c>
      <c r="G298" t="inlineStr">
        <is>
          <t>ÖSTRA GÖINGE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26465-2026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46182</v>
      </c>
      <c r="E299" s="1" t="n">
        <v>46293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46182</v>
      </c>
      <c r="E300" s="1" t="n">
        <v>46293</v>
      </c>
      <c r="F300" t="inlineStr">
        <is>
          <t>SKÅNE LÄN</t>
        </is>
      </c>
      <c r="G300" t="inlineStr">
        <is>
          <t>ÖSTRA GÖINGE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45105</v>
      </c>
      <c r="E301" s="1" t="n">
        <v>46293</v>
      </c>
      <c r="F301" t="inlineStr">
        <is>
          <t>SKÅNE LÄN</t>
        </is>
      </c>
      <c r="G301" t="inlineStr">
        <is>
          <t>ÖSTRA GÖINGE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46293</v>
      </c>
      <c r="F302" t="inlineStr">
        <is>
          <t>SKÅNE LÄN</t>
        </is>
      </c>
      <c r="G302" t="inlineStr">
        <is>
          <t>ÖSTRA GÖINGE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46182</v>
      </c>
      <c r="E303" s="1" t="n">
        <v>46293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46182</v>
      </c>
      <c r="E304" s="1" t="n">
        <v>46293</v>
      </c>
      <c r="F304" t="inlineStr">
        <is>
          <t>SKÅNE LÄN</t>
        </is>
      </c>
      <c r="G304" t="inlineStr">
        <is>
          <t>ÖSTRA GÖINGE</t>
        </is>
      </c>
      <c r="I304" t="n">
        <v>34.5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50663-2024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45601</v>
      </c>
      <c r="E305" s="1" t="n">
        <v>46293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46293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44981</v>
      </c>
      <c r="E307" s="1" t="n">
        <v>46293</v>
      </c>
      <c r="F307" t="inlineStr">
        <is>
          <t>SKÅNE LÄN</t>
        </is>
      </c>
      <c r="G307" t="inlineStr">
        <is>
          <t>ÖSTRA GÖINGE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46293</v>
      </c>
      <c r="F308" t="inlineStr">
        <is>
          <t>SKÅNE LÄN</t>
        </is>
      </c>
      <c r="G308" t="inlineStr">
        <is>
          <t>ÖSTRA GÖINGE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46293</v>
      </c>
      <c r="F309" t="inlineStr">
        <is>
          <t>SKÅNE LÄN</t>
        </is>
      </c>
      <c r="G309" t="inlineStr">
        <is>
          <t>ÖSTRA GÖINGE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45139</v>
      </c>
      <c r="E310" s="1" t="n">
        <v>46293</v>
      </c>
      <c r="F310" t="inlineStr">
        <is>
          <t>SKÅNE LÄN</t>
        </is>
      </c>
      <c r="G310" t="inlineStr">
        <is>
          <t>ÖSTRA GÖINGE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45117</v>
      </c>
      <c r="E311" s="1" t="n">
        <v>46293</v>
      </c>
      <c r="F311" t="inlineStr">
        <is>
          <t>SKÅNE LÄN</t>
        </is>
      </c>
      <c r="G311" t="inlineStr">
        <is>
          <t>ÖSTRA GÖINGE</t>
        </is>
      </c>
      <c r="H311" t="inlineStr">
        <is>
          <t>Sveaskog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44953</v>
      </c>
      <c r="E312" s="1" t="n">
        <v>46293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45138</v>
      </c>
      <c r="E313" s="1" t="n">
        <v>46293</v>
      </c>
      <c r="F313" t="inlineStr">
        <is>
          <t>SKÅNE LÄN</t>
        </is>
      </c>
      <c r="G313" t="inlineStr">
        <is>
          <t>ÖSTRA GÖINGE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69387-2021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44531</v>
      </c>
      <c r="E314" s="1" t="n">
        <v>46293</v>
      </c>
      <c r="F314" t="inlineStr">
        <is>
          <t>SKÅNE LÄN</t>
        </is>
      </c>
      <c r="G314" t="inlineStr">
        <is>
          <t>ÖSTRA GÖINGE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58938-2024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45636</v>
      </c>
      <c r="E315" s="1" t="n">
        <v>46293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48621-2023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46293</v>
      </c>
      <c r="F316" t="inlineStr">
        <is>
          <t>SKÅNE LÄN</t>
        </is>
      </c>
      <c r="G316" t="inlineStr">
        <is>
          <t>ÖSTRA GÖINGE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46293</v>
      </c>
      <c r="F317" t="inlineStr">
        <is>
          <t>SKÅNE LÄN</t>
        </is>
      </c>
      <c r="G317" t="inlineStr">
        <is>
          <t>ÖSTRA GÖINGE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46293</v>
      </c>
      <c r="F318" t="inlineStr">
        <is>
          <t>SKÅNE LÄN</t>
        </is>
      </c>
      <c r="G318" t="inlineStr">
        <is>
          <t>ÖSTRA GÖINGE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46279-2024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45581</v>
      </c>
      <c r="E319" s="1" t="n">
        <v>46293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46293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46293</v>
      </c>
      <c r="F321" t="inlineStr">
        <is>
          <t>SKÅNE LÄN</t>
        </is>
      </c>
      <c r="G321" t="inlineStr">
        <is>
          <t>ÖSTRA GÖINGE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29856-2026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46293</v>
      </c>
      <c r="F322" t="inlineStr">
        <is>
          <t>SKÅNE LÄN</t>
        </is>
      </c>
      <c r="G322" t="inlineStr">
        <is>
          <t>ÖSTRA GÖINGE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46205</v>
      </c>
      <c r="E323" s="1" t="n">
        <v>46293</v>
      </c>
      <c r="F323" t="inlineStr">
        <is>
          <t>SKÅNE LÄN</t>
        </is>
      </c>
      <c r="G323" t="inlineStr">
        <is>
          <t>ÖSTRA GÖINGE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46293</v>
      </c>
      <c r="F324" t="inlineStr">
        <is>
          <t>SKÅNE LÄN</t>
        </is>
      </c>
      <c r="G324" t="inlineStr">
        <is>
          <t>ÖSTRA GÖINGE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46293</v>
      </c>
      <c r="F325" t="inlineStr">
        <is>
          <t>SKÅNE LÄN</t>
        </is>
      </c>
      <c r="G325" t="inlineStr">
        <is>
          <t>ÖSTRA GÖINGE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45569</v>
      </c>
      <c r="E326" s="1" t="n">
        <v>46293</v>
      </c>
      <c r="F326" t="inlineStr">
        <is>
          <t>SKÅNE LÄN</t>
        </is>
      </c>
      <c r="G326" t="inlineStr">
        <is>
          <t>ÖSTRA GÖINGE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46293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10497-2022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44623</v>
      </c>
      <c r="E328" s="1" t="n">
        <v>46293</v>
      </c>
      <c r="F328" t="inlineStr">
        <is>
          <t>SKÅNE LÄN</t>
        </is>
      </c>
      <c r="G328" t="inlineStr">
        <is>
          <t>ÖSTRA GÖINGE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46293</v>
      </c>
      <c r="F329" t="inlineStr">
        <is>
          <t>SKÅNE LÄN</t>
        </is>
      </c>
      <c r="G329" t="inlineStr">
        <is>
          <t>ÖSTRA GÖINGE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45076</v>
      </c>
      <c r="E330" s="1" t="n">
        <v>46293</v>
      </c>
      <c r="F330" t="inlineStr">
        <is>
          <t>SKÅNE LÄN</t>
        </is>
      </c>
      <c r="G330" t="inlineStr">
        <is>
          <t>ÖSTRA GÖINGE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45172</v>
      </c>
      <c r="E331" s="1" t="n">
        <v>46293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30111-2026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46206</v>
      </c>
      <c r="E332" s="1" t="n">
        <v>46293</v>
      </c>
      <c r="F332" t="inlineStr">
        <is>
          <t>SKÅNE LÄN</t>
        </is>
      </c>
      <c r="G332" t="inlineStr">
        <is>
          <t>ÖSTRA GÖINGE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45117</v>
      </c>
      <c r="E333" s="1" t="n">
        <v>46293</v>
      </c>
      <c r="F333" t="inlineStr">
        <is>
          <t>SKÅNE LÄN</t>
        </is>
      </c>
      <c r="G333" t="inlineStr">
        <is>
          <t>ÖSTRA GÖINGE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42192-2023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45179</v>
      </c>
      <c r="E334" s="1" t="n">
        <v>46293</v>
      </c>
      <c r="F334" t="inlineStr">
        <is>
          <t>SKÅNE LÄN</t>
        </is>
      </c>
      <c r="G334" t="inlineStr">
        <is>
          <t>ÖSTRA GÖINGE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35680-2023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46293</v>
      </c>
      <c r="F335" t="inlineStr">
        <is>
          <t>SKÅNE LÄN</t>
        </is>
      </c>
      <c r="G335" t="inlineStr">
        <is>
          <t>ÖSTRA GÖINGE</t>
        </is>
      </c>
      <c r="I335" t="n">
        <v>15.4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46293</v>
      </c>
      <c r="F336" t="inlineStr">
        <is>
          <t>SKÅNE LÄN</t>
        </is>
      </c>
      <c r="G336" t="inlineStr">
        <is>
          <t>ÖSTRA GÖINGE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34697-2026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46293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46293</v>
      </c>
      <c r="F338" t="inlineStr">
        <is>
          <t>SKÅNE LÄN</t>
        </is>
      </c>
      <c r="G338" t="inlineStr">
        <is>
          <t>ÖSTRA GÖINGE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46293</v>
      </c>
      <c r="F339" t="inlineStr">
        <is>
          <t>SKÅNE LÄN</t>
        </is>
      </c>
      <c r="G339" t="inlineStr">
        <is>
          <t>ÖSTRA GÖINGE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45774</v>
      </c>
      <c r="E340" s="1" t="n">
        <v>46293</v>
      </c>
      <c r="F340" t="inlineStr">
        <is>
          <t>SKÅNE LÄN</t>
        </is>
      </c>
      <c r="G340" t="inlineStr">
        <is>
          <t>ÖSTRA GÖINGE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34695-2026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46293</v>
      </c>
      <c r="F341" t="inlineStr">
        <is>
          <t>SKÅNE LÄN</t>
        </is>
      </c>
      <c r="G341" t="inlineStr">
        <is>
          <t>ÖSTRA GÖINGE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18540-2022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44686</v>
      </c>
      <c r="E342" s="1" t="n">
        <v>46293</v>
      </c>
      <c r="F342" t="inlineStr">
        <is>
          <t>SKÅNE LÄN</t>
        </is>
      </c>
      <c r="G342" t="inlineStr">
        <is>
          <t>ÖSTRA GÖINGE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46293</v>
      </c>
      <c r="F343" t="inlineStr">
        <is>
          <t>SKÅNE LÄN</t>
        </is>
      </c>
      <c r="G343" t="inlineStr">
        <is>
          <t>ÖSTRA GÖINGE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44853</v>
      </c>
      <c r="E344" s="1" t="n">
        <v>46293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46677-2023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46293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32514-2023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46293</v>
      </c>
      <c r="F346" t="inlineStr">
        <is>
          <t>SKÅNE LÄN</t>
        </is>
      </c>
      <c r="G346" t="inlineStr">
        <is>
          <t>ÖSTRA GÖINGE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44725-2022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44840</v>
      </c>
      <c r="E347" s="1" t="n">
        <v>46293</v>
      </c>
      <c r="F347" t="inlineStr">
        <is>
          <t>SKÅNE LÄN</t>
        </is>
      </c>
      <c r="G347" t="inlineStr">
        <is>
          <t>ÖSTRA GÖINGE</t>
        </is>
      </c>
      <c r="I347" t="n">
        <v>8.300000000000001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61926-2023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45266</v>
      </c>
      <c r="E348" s="1" t="n">
        <v>46293</v>
      </c>
      <c r="F348" t="inlineStr">
        <is>
          <t>SKÅNE LÄN</t>
        </is>
      </c>
      <c r="G348" t="inlineStr">
        <is>
          <t>ÖSTRA GÖINGE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45203</v>
      </c>
      <c r="E349" s="1" t="n">
        <v>46293</v>
      </c>
      <c r="F349" t="inlineStr">
        <is>
          <t>SKÅNE LÄN</t>
        </is>
      </c>
      <c r="G349" t="inlineStr">
        <is>
          <t>ÖSTRA GÖINGE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46293</v>
      </c>
      <c r="F350" t="inlineStr">
        <is>
          <t>SKÅNE LÄN</t>
        </is>
      </c>
      <c r="G350" t="inlineStr">
        <is>
          <t>ÖSTRA GÖINGE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35755-2026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46265</v>
      </c>
      <c r="E351" s="1" t="n">
        <v>46293</v>
      </c>
      <c r="F351" t="inlineStr">
        <is>
          <t>SKÅNE LÄN</t>
        </is>
      </c>
      <c r="G351" t="inlineStr">
        <is>
          <t>ÖSTRA GÖINGE</t>
        </is>
      </c>
      <c r="H351" t="inlineStr">
        <is>
          <t>Sveaskog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61096-2022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44915</v>
      </c>
      <c r="E352" s="1" t="n">
        <v>46293</v>
      </c>
      <c r="F352" t="inlineStr">
        <is>
          <t>SKÅNE LÄN</t>
        </is>
      </c>
      <c r="G352" t="inlineStr">
        <is>
          <t>ÖSTRA GÖINGE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45330</v>
      </c>
      <c r="E353" s="1" t="n">
        <v>46293</v>
      </c>
      <c r="F353" t="inlineStr">
        <is>
          <t>SKÅNE LÄN</t>
        </is>
      </c>
      <c r="G353" t="inlineStr">
        <is>
          <t>ÖSTRA GÖINGE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7739-2024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45349</v>
      </c>
      <c r="E354" s="1" t="n">
        <v>46293</v>
      </c>
      <c r="F354" t="inlineStr">
        <is>
          <t>SKÅNE LÄN</t>
        </is>
      </c>
      <c r="G354" t="inlineStr">
        <is>
          <t>ÖSTRA GÖINGE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57293-2023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45245</v>
      </c>
      <c r="E355" s="1" t="n">
        <v>46293</v>
      </c>
      <c r="F355" t="inlineStr">
        <is>
          <t>SKÅNE LÄN</t>
        </is>
      </c>
      <c r="G355" t="inlineStr">
        <is>
          <t>ÖSTRA GÖINGE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36557-2026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46269</v>
      </c>
      <c r="E356" s="1" t="n">
        <v>46293</v>
      </c>
      <c r="F356" t="inlineStr">
        <is>
          <t>SKÅNE LÄN</t>
        </is>
      </c>
      <c r="G356" t="inlineStr">
        <is>
          <t>ÖSTRA GÖINGE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46293</v>
      </c>
      <c r="F357" t="inlineStr">
        <is>
          <t>SKÅNE LÄN</t>
        </is>
      </c>
      <c r="G357" t="inlineStr">
        <is>
          <t>ÖSTRA GÖINGE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24028-2022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44723</v>
      </c>
      <c r="E358" s="1" t="n">
        <v>46293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3782-2024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45321</v>
      </c>
      <c r="E359" s="1" t="n">
        <v>46293</v>
      </c>
      <c r="F359" t="inlineStr">
        <is>
          <t>SKÅNE LÄN</t>
        </is>
      </c>
      <c r="G359" t="inlineStr">
        <is>
          <t>ÖSTRA GÖINGE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45310</v>
      </c>
      <c r="E360" s="1" t="n">
        <v>46293</v>
      </c>
      <c r="F360" t="inlineStr">
        <is>
          <t>SKÅNE LÄN</t>
        </is>
      </c>
      <c r="G360" t="inlineStr">
        <is>
          <t>ÖSTRA GÖINGE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37144-2026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46274</v>
      </c>
      <c r="E361" s="1" t="n">
        <v>46293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46293</v>
      </c>
      <c r="F362" t="inlineStr">
        <is>
          <t>SKÅNE LÄN</t>
        </is>
      </c>
      <c r="G362" t="inlineStr">
        <is>
          <t>ÖSTRA GÖINGE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37147-2026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46293</v>
      </c>
      <c r="F363" t="inlineStr">
        <is>
          <t>SKÅNE LÄN</t>
        </is>
      </c>
      <c r="G363" t="inlineStr">
        <is>
          <t>ÖSTRA GÖINGE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60519-2023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45259</v>
      </c>
      <c r="E364" s="1" t="n">
        <v>46293</v>
      </c>
      <c r="F364" t="inlineStr">
        <is>
          <t>SKÅNE LÄN</t>
        </is>
      </c>
      <c r="G364" t="inlineStr">
        <is>
          <t>ÖSTRA GÖINGE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46275</v>
      </c>
      <c r="E365" s="1" t="n">
        <v>46293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37426-2026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46275</v>
      </c>
      <c r="E366" s="1" t="n">
        <v>46293</v>
      </c>
      <c r="F366" t="inlineStr">
        <is>
          <t>SKÅNE LÄN</t>
        </is>
      </c>
      <c r="G366" t="inlineStr">
        <is>
          <t>ÖSTRA GÖINGE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71747-2021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44539</v>
      </c>
      <c r="E367" s="1" t="n">
        <v>46293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46293</v>
      </c>
      <c r="F368" t="inlineStr">
        <is>
          <t>SKÅNE LÄN</t>
        </is>
      </c>
      <c r="G368" t="inlineStr">
        <is>
          <t>ÖSTRA GÖINGE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44937</v>
      </c>
      <c r="E369" s="1" t="n">
        <v>46293</v>
      </c>
      <c r="F369" t="inlineStr">
        <is>
          <t>SKÅNE LÄN</t>
        </is>
      </c>
      <c r="G369" t="inlineStr">
        <is>
          <t>ÖSTRA GÖINGE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43224-2024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46293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34924-2022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44796</v>
      </c>
      <c r="E371" s="1" t="n">
        <v>46293</v>
      </c>
      <c r="F371" t="inlineStr">
        <is>
          <t>SKÅNE LÄN</t>
        </is>
      </c>
      <c r="G371" t="inlineStr">
        <is>
          <t>ÖSTRA GÖINGE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64181-2023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45279</v>
      </c>
      <c r="E372" s="1" t="n">
        <v>46293</v>
      </c>
      <c r="F372" t="inlineStr">
        <is>
          <t>SKÅNE LÄN</t>
        </is>
      </c>
      <c r="G372" t="inlineStr">
        <is>
          <t>ÖSTRA GÖINGE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46293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46241</v>
      </c>
      <c r="E374" s="1" t="n">
        <v>46293</v>
      </c>
      <c r="F374" t="inlineStr">
        <is>
          <t>SKÅNE LÄN</t>
        </is>
      </c>
      <c r="G374" t="inlineStr">
        <is>
          <t>ÖSTRA GÖINGE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66526-2021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44519</v>
      </c>
      <c r="E375" s="1" t="n">
        <v>46293</v>
      </c>
      <c r="F375" t="inlineStr">
        <is>
          <t>SKÅNE LÄN</t>
        </is>
      </c>
      <c r="G375" t="inlineStr">
        <is>
          <t>ÖSTRA GÖINGE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7387-2022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44606</v>
      </c>
      <c r="E376" s="1" t="n">
        <v>46293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44897</v>
      </c>
      <c r="E377" s="1" t="n">
        <v>46293</v>
      </c>
      <c r="F377" t="inlineStr">
        <is>
          <t>SKÅNE LÄN</t>
        </is>
      </c>
      <c r="G377" t="inlineStr">
        <is>
          <t>ÖSTRA GÖINGE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44852</v>
      </c>
      <c r="E378" s="1" t="n">
        <v>46293</v>
      </c>
      <c r="F378" t="inlineStr">
        <is>
          <t>SKÅNE LÄN</t>
        </is>
      </c>
      <c r="G378" t="inlineStr">
        <is>
          <t>ÖSTRA GÖINGE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46293</v>
      </c>
      <c r="F379" t="inlineStr">
        <is>
          <t>SKÅNE LÄN</t>
        </is>
      </c>
      <c r="G379" t="inlineStr">
        <is>
          <t>ÖSTRA GÖINGE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45475</v>
      </c>
      <c r="E380" s="1" t="n">
        <v>46293</v>
      </c>
      <c r="F380" t="inlineStr">
        <is>
          <t>SKÅNE LÄN</t>
        </is>
      </c>
      <c r="G380" t="inlineStr">
        <is>
          <t>ÖSTRA GÖINGE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46287</v>
      </c>
      <c r="E381" s="1" t="n">
        <v>46293</v>
      </c>
      <c r="F381" t="inlineStr">
        <is>
          <t>SKÅNE LÄN</t>
        </is>
      </c>
      <c r="G381" t="inlineStr">
        <is>
          <t>ÖSTRA GÖINGE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10937-2022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46293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33552-2026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46248</v>
      </c>
      <c r="E383" s="1" t="n">
        <v>46293</v>
      </c>
      <c r="F383" t="inlineStr">
        <is>
          <t>SKÅNE LÄN</t>
        </is>
      </c>
      <c r="G383" t="inlineStr">
        <is>
          <t>ÖSTRA GÖINGE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44946</v>
      </c>
      <c r="E384" s="1" t="n">
        <v>46293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39730-2026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46290</v>
      </c>
      <c r="E385" s="1" t="n">
        <v>46293</v>
      </c>
      <c r="F385" t="inlineStr">
        <is>
          <t>SKÅNE LÄN</t>
        </is>
      </c>
      <c r="G385" t="inlineStr">
        <is>
          <t>ÖSTRA GÖINGE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46290</v>
      </c>
      <c r="E386" s="1" t="n">
        <v>46293</v>
      </c>
      <c r="F386" t="inlineStr">
        <is>
          <t>SKÅNE LÄN</t>
        </is>
      </c>
      <c r="G386" t="inlineStr">
        <is>
          <t>ÖSTRA GÖINGE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45316</v>
      </c>
      <c r="E387" s="1" t="n">
        <v>46293</v>
      </c>
      <c r="F387" t="inlineStr">
        <is>
          <t>SKÅNE LÄN</t>
        </is>
      </c>
      <c r="G387" t="inlineStr">
        <is>
          <t>ÖSTRA GÖINGE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46289</v>
      </c>
      <c r="E388" s="1" t="n">
        <v>46293</v>
      </c>
      <c r="F388" t="inlineStr">
        <is>
          <t>SKÅNE LÄN</t>
        </is>
      </c>
      <c r="G388" t="inlineStr">
        <is>
          <t>ÖSTRA GÖINGE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45188</v>
      </c>
      <c r="E389" s="1" t="n">
        <v>46293</v>
      </c>
      <c r="F389" t="inlineStr">
        <is>
          <t>SKÅNE LÄN</t>
        </is>
      </c>
      <c r="G389" t="inlineStr">
        <is>
          <t>ÖSTRA GÖINGE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34793-2023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46293</v>
      </c>
      <c r="F390" t="inlineStr">
        <is>
          <t>SKÅNE LÄN</t>
        </is>
      </c>
      <c r="G390" t="inlineStr">
        <is>
          <t>ÖSTRA GÖINGE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6782-2022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44602</v>
      </c>
      <c r="E391" s="1" t="n">
        <v>46293</v>
      </c>
      <c r="F391" t="inlineStr">
        <is>
          <t>SKÅNE LÄN</t>
        </is>
      </c>
      <c r="G391" t="inlineStr">
        <is>
          <t>ÖSTRA GÖINGE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46293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46293</v>
      </c>
      <c r="F393" t="inlineStr">
        <is>
          <t>SKÅNE LÄN</t>
        </is>
      </c>
      <c r="G393" t="inlineStr">
        <is>
          <t>ÖSTRA GÖINGE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46293</v>
      </c>
      <c r="F394" t="inlineStr">
        <is>
          <t>SKÅNE LÄN</t>
        </is>
      </c>
      <c r="G394" t="inlineStr">
        <is>
          <t>ÖSTRA GÖINGE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46293</v>
      </c>
      <c r="F395" t="inlineStr">
        <is>
          <t>SKÅNE LÄN</t>
        </is>
      </c>
      <c r="G395" t="inlineStr">
        <is>
          <t>ÖSTRA GÖINGE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46293</v>
      </c>
      <c r="F396" t="inlineStr">
        <is>
          <t>SKÅNE LÄN</t>
        </is>
      </c>
      <c r="G396" t="inlineStr">
        <is>
          <t>ÖSTRA GÖINGE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46293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46293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46293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46293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46293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46293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46293</v>
      </c>
      <c r="F403" t="inlineStr">
        <is>
          <t>SKÅNE LÄN</t>
        </is>
      </c>
      <c r="G403" t="inlineStr">
        <is>
          <t>ÖSTRA GÖINGE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49228-2023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45210</v>
      </c>
      <c r="E404" s="1" t="n">
        <v>46293</v>
      </c>
      <c r="F404" t="inlineStr">
        <is>
          <t>SKÅNE LÄN</t>
        </is>
      </c>
      <c r="G404" t="inlineStr">
        <is>
          <t>ÖSTRA GÖINGE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45146</v>
      </c>
      <c r="E405" s="1" t="n">
        <v>46293</v>
      </c>
      <c r="F405" t="inlineStr">
        <is>
          <t>SKÅNE LÄN</t>
        </is>
      </c>
      <c r="G405" t="inlineStr">
        <is>
          <t>ÖSTRA GÖINGE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45029</v>
      </c>
      <c r="E406" s="1" t="n">
        <v>46293</v>
      </c>
      <c r="F406" t="inlineStr">
        <is>
          <t>SKÅNE LÄN</t>
        </is>
      </c>
      <c r="G406" t="inlineStr">
        <is>
          <t>ÖSTRA GÖINGE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44466</v>
      </c>
      <c r="E407" s="1" t="n">
        <v>46293</v>
      </c>
      <c r="F407" t="inlineStr">
        <is>
          <t>SKÅNE LÄN</t>
        </is>
      </c>
      <c r="G407" t="inlineStr">
        <is>
          <t>ÖSTRA GÖINGE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37550-2024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45541</v>
      </c>
      <c r="E408" s="1" t="n">
        <v>46293</v>
      </c>
      <c r="F408" t="inlineStr">
        <is>
          <t>SKÅNE LÄN</t>
        </is>
      </c>
      <c r="G408" t="inlineStr">
        <is>
          <t>ÖSTRA GÖINGE</t>
        </is>
      </c>
      <c r="I408" t="n">
        <v>7.1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37589-2024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45541</v>
      </c>
      <c r="E409" s="1" t="n">
        <v>46293</v>
      </c>
      <c r="F409" t="inlineStr">
        <is>
          <t>SKÅNE LÄN</t>
        </is>
      </c>
      <c r="G409" t="inlineStr">
        <is>
          <t>ÖSTRA GÖINGE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45735</v>
      </c>
      <c r="E410" s="1" t="n">
        <v>46293</v>
      </c>
      <c r="F410" t="inlineStr">
        <is>
          <t>SKÅNE LÄN</t>
        </is>
      </c>
      <c r="G410" t="inlineStr">
        <is>
          <t>ÖSTRA GÖINGE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45405</v>
      </c>
      <c r="E411" s="1" t="n">
        <v>46293</v>
      </c>
      <c r="F411" t="inlineStr">
        <is>
          <t>SKÅNE LÄN</t>
        </is>
      </c>
      <c r="G411" t="inlineStr">
        <is>
          <t>ÖSTRA GÖINGE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43447-2024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45568</v>
      </c>
      <c r="E412" s="1" t="n">
        <v>46293</v>
      </c>
      <c r="F412" t="inlineStr">
        <is>
          <t>SKÅNE LÄN</t>
        </is>
      </c>
      <c r="G412" t="inlineStr">
        <is>
          <t>ÖSTRA GÖINGE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45254</v>
      </c>
      <c r="E413" s="1" t="n">
        <v>46293</v>
      </c>
      <c r="F413" t="inlineStr">
        <is>
          <t>SKÅNE LÄN</t>
        </is>
      </c>
      <c r="G413" t="inlineStr">
        <is>
          <t>ÖSTRA GÖINGE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46293</v>
      </c>
      <c r="F414" t="inlineStr">
        <is>
          <t>SKÅNE LÄN</t>
        </is>
      </c>
      <c r="G414" t="inlineStr">
        <is>
          <t>ÖSTRA GÖINGE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46293</v>
      </c>
      <c r="F415" t="inlineStr">
        <is>
          <t>SKÅNE LÄN</t>
        </is>
      </c>
      <c r="G415" t="inlineStr">
        <is>
          <t>ÖSTRA GÖINGE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44958</v>
      </c>
      <c r="E416" s="1" t="n">
        <v>46293</v>
      </c>
      <c r="F416" t="inlineStr">
        <is>
          <t>SKÅNE LÄN</t>
        </is>
      </c>
      <c r="G416" t="inlineStr">
        <is>
          <t>ÖSTRA GÖINGE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5134-2023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44958</v>
      </c>
      <c r="E417" s="1" t="n">
        <v>46293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37303-2023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46293</v>
      </c>
      <c r="F418" t="inlineStr">
        <is>
          <t>SKÅNE LÄN</t>
        </is>
      </c>
      <c r="G418" t="inlineStr">
        <is>
          <t>ÖSTRA GÖINGE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46293</v>
      </c>
      <c r="F419" t="inlineStr">
        <is>
          <t>SKÅNE LÄN</t>
        </is>
      </c>
      <c r="G419" t="inlineStr">
        <is>
          <t>ÖSTRA GÖINGE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46293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46293</v>
      </c>
      <c r="F421" t="inlineStr">
        <is>
          <t>SKÅNE LÄN</t>
        </is>
      </c>
      <c r="G421" t="inlineStr">
        <is>
          <t>ÖSTRA GÖINGE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45331</v>
      </c>
      <c r="E422" s="1" t="n">
        <v>46293</v>
      </c>
      <c r="F422" t="inlineStr">
        <is>
          <t>SKÅNE LÄN</t>
        </is>
      </c>
      <c r="G422" t="inlineStr">
        <is>
          <t>ÖSTRA GÖINGE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27322-2022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46293</v>
      </c>
      <c r="F423" t="inlineStr">
        <is>
          <t>SKÅNE LÄN</t>
        </is>
      </c>
      <c r="G423" t="inlineStr">
        <is>
          <t>ÖSTRA GÖINGE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3805-2024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46293</v>
      </c>
      <c r="F424" t="inlineStr">
        <is>
          <t>SKÅNE LÄN</t>
        </is>
      </c>
      <c r="G424" t="inlineStr">
        <is>
          <t>ÖSTRA GÖINGE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46293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46293</v>
      </c>
      <c r="F426" t="inlineStr">
        <is>
          <t>SKÅNE LÄN</t>
        </is>
      </c>
      <c r="G426" t="inlineStr">
        <is>
          <t>ÖSTRA GÖINGE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46293</v>
      </c>
      <c r="F427" t="inlineStr">
        <is>
          <t>SKÅNE LÄN</t>
        </is>
      </c>
      <c r="G427" t="inlineStr">
        <is>
          <t>ÖSTRA GÖINGE</t>
        </is>
      </c>
      <c r="I427" t="n">
        <v>9.4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46293</v>
      </c>
      <c r="F428" t="inlineStr">
        <is>
          <t>SKÅNE LÄN</t>
        </is>
      </c>
      <c r="G428" t="inlineStr">
        <is>
          <t>ÖSTRA GÖINGE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1837-2024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45307</v>
      </c>
      <c r="E429" s="1" t="n">
        <v>46293</v>
      </c>
      <c r="F429" t="inlineStr">
        <is>
          <t>SKÅNE LÄN</t>
        </is>
      </c>
      <c r="G429" t="inlineStr">
        <is>
          <t>ÖSTRA GÖINGE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45680</v>
      </c>
      <c r="E430" s="1" t="n">
        <v>46293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44930</v>
      </c>
      <c r="E431" s="1" t="n">
        <v>46293</v>
      </c>
      <c r="F431" t="inlineStr">
        <is>
          <t>SKÅNE LÄN</t>
        </is>
      </c>
      <c r="G431" t="inlineStr">
        <is>
          <t>ÖSTRA GÖINGE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46293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46293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11638-2025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45727</v>
      </c>
      <c r="E434" s="1" t="n">
        <v>46293</v>
      </c>
      <c r="F434" t="inlineStr">
        <is>
          <t>SKÅNE LÄN</t>
        </is>
      </c>
      <c r="G434" t="inlineStr">
        <is>
          <t>ÖSTRA GÖINGE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42313-2024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45562</v>
      </c>
      <c r="E435" s="1" t="n">
        <v>46293</v>
      </c>
      <c r="F435" t="inlineStr">
        <is>
          <t>SKÅNE LÄN</t>
        </is>
      </c>
      <c r="G435" t="inlineStr">
        <is>
          <t>ÖSTRA GÖINGE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46293</v>
      </c>
      <c r="F436" t="inlineStr">
        <is>
          <t>SKÅNE LÄN</t>
        </is>
      </c>
      <c r="G436" t="inlineStr">
        <is>
          <t>ÖSTRA GÖINGE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45635</v>
      </c>
      <c r="E437" s="1" t="n">
        <v>46293</v>
      </c>
      <c r="F437" t="inlineStr">
        <is>
          <t>SKÅNE LÄN</t>
        </is>
      </c>
      <c r="G437" t="inlineStr">
        <is>
          <t>ÖSTRA GÖINGE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43478-2023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45184</v>
      </c>
      <c r="E438" s="1" t="n">
        <v>46293</v>
      </c>
      <c r="F438" t="inlineStr">
        <is>
          <t>SKÅNE LÄN</t>
        </is>
      </c>
      <c r="G438" t="inlineStr">
        <is>
          <t>ÖSTRA GÖINGE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45538</v>
      </c>
      <c r="E439" s="1" t="n">
        <v>46293</v>
      </c>
      <c r="F439" t="inlineStr">
        <is>
          <t>SKÅNE LÄN</t>
        </is>
      </c>
      <c r="G439" t="inlineStr">
        <is>
          <t>ÖSTRA GÖINGE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45489</v>
      </c>
      <c r="E440" s="1" t="n">
        <v>46293</v>
      </c>
      <c r="F440" t="inlineStr">
        <is>
          <t>SKÅNE LÄN</t>
        </is>
      </c>
      <c r="G440" t="inlineStr">
        <is>
          <t>ÖSTRA GÖINGE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59355-2024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46293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45706</v>
      </c>
      <c r="E442" s="1" t="n">
        <v>46293</v>
      </c>
      <c r="F442" t="inlineStr">
        <is>
          <t>SKÅNE LÄN</t>
        </is>
      </c>
      <c r="G442" t="inlineStr">
        <is>
          <t>ÖSTRA GÖINGE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16261-2023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45022</v>
      </c>
      <c r="E443" s="1" t="n">
        <v>46293</v>
      </c>
      <c r="F443" t="inlineStr">
        <is>
          <t>SKÅNE LÄN</t>
        </is>
      </c>
      <c r="G443" t="inlineStr">
        <is>
          <t>ÖSTRA GÖINGE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45564</v>
      </c>
      <c r="E444" s="1" t="n">
        <v>46293</v>
      </c>
      <c r="F444" t="inlineStr">
        <is>
          <t>SKÅNE LÄN</t>
        </is>
      </c>
      <c r="G444" t="inlineStr">
        <is>
          <t>ÖSTRA GÖINGE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6521-2025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45699</v>
      </c>
      <c r="E445" s="1" t="n">
        <v>46293</v>
      </c>
      <c r="F445" t="inlineStr">
        <is>
          <t>SKÅNE LÄN</t>
        </is>
      </c>
      <c r="G445" t="inlineStr">
        <is>
          <t>ÖSTRA GÖINGE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46293</v>
      </c>
      <c r="F446" t="inlineStr">
        <is>
          <t>SKÅNE LÄN</t>
        </is>
      </c>
      <c r="G446" t="inlineStr">
        <is>
          <t>ÖSTRA GÖINGE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60504-2024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46293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46293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46293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46293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46293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46293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46293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46293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46293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46293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46293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46293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46293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46293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46293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46293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46293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46293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46293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46293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46293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46293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46293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46293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46293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46293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46293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46293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46293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46293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46293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46293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46293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46293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46293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46293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46293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46293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46293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46293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46293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46293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2026-09-28T01:59:28Z</dcterms:created>
  <dcterms:modified xmlns:dcterms="http://purl.org/dc/terms/" xmlns:xsi="http://www.w3.org/2001/XMLSchema-instance" xsi:type="dcterms:W3CDTF">2026-09-28T01:59:29Z</dcterms:modified>
</cp:coreProperties>
</file>