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46255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46255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46255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46255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46255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46255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46255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46255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46255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46255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46255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46255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46255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46255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46255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46255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46255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46255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46255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46255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46255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46255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46255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46255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46255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46255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46255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59369-2024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46255</v>
      </c>
      <c r="F39" t="inlineStr">
        <is>
          <t>SKÅNE LÄN</t>
        </is>
      </c>
      <c r="G39" t="inlineStr">
        <is>
          <t>ÖSTRA GÖINGE</t>
        </is>
      </c>
      <c r="I39" t="n">
        <v>3.2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HYPERLINK("https://klasma.github.io/Logging_1256/artfynd/A 59369-2024 artfynd.xlsx", "A 59369-2024")</f>
        <v/>
      </c>
      <c r="X39">
        <f>HYPERLINK("https://klasma.github.io/Logging_1256/kartor/A 59369-2024 karta.png", "A 59369-2024")</f>
        <v/>
      </c>
      <c r="Y39">
        <f>HYPERLINK("https://klasma.github.io/Logging_1256/kartor_geotiff/A 59369-2024 georefererad karta.tif", "A 59369-2024")</f>
        <v/>
      </c>
      <c r="AA39">
        <f>HYPERLINK("https://klasma.github.io/Logging_1256/klagomål/A 59369-2024 FSC-klagomål.docx", "A 59369-2024")</f>
        <v/>
      </c>
      <c r="AB39">
        <f>HYPERLINK("https://klasma.github.io/Logging_1256/klagomålsmail/A 59369-2024 FSC-klagomål mail.docx", "A 59369-2024")</f>
        <v/>
      </c>
      <c r="AC39">
        <f>HYPERLINK("https://klasma.github.io/Logging_1256/tillsyn/A 59369-2024 tillsynsbegäran.docx", "A 59369-2024")</f>
        <v/>
      </c>
      <c r="AD39">
        <f>HYPERLINK("https://klasma.github.io/Logging_1256/tillsynsmail/A 59369-2024 tillsynsbegäran mail.docx", "A 59369-2024")</f>
        <v/>
      </c>
    </row>
    <row r="40" ht="15" customHeight="1">
      <c r="A40" t="inlineStr">
        <is>
          <t>A 45359-2023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45192</v>
      </c>
      <c r="E40" s="1" t="n">
        <v>46255</v>
      </c>
      <c r="F40" t="inlineStr">
        <is>
          <t>SKÅNE LÄN</t>
        </is>
      </c>
      <c r="G40" t="inlineStr">
        <is>
          <t>ÖSTRA GÖINGE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HYPERLINK("https://klasma.github.io/Logging_1256/artfynd/A 45359-2023 artfynd.xlsx", "A 45359-2023")</f>
        <v/>
      </c>
      <c r="X40">
        <f>HYPERLINK("https://klasma.github.io/Logging_1256/kartor/A 45359-2023 karta.png", "A 45359-2023")</f>
        <v/>
      </c>
      <c r="Y40">
        <f>HYPERLINK("https://klasma.github.io/Logging_1256/kartor_geotiff/A 45359-2023 georefererad karta.tif", "A 45359-2023")</f>
        <v/>
      </c>
      <c r="AA40">
        <f>HYPERLINK("https://klasma.github.io/Logging_1256/klagomål/A 45359-2023 FSC-klagomål.docx", "A 45359-2023")</f>
        <v/>
      </c>
      <c r="AB40">
        <f>HYPERLINK("https://klasma.github.io/Logging_1256/klagomålsmail/A 45359-2023 FSC-klagomål mail.docx", "A 45359-2023")</f>
        <v/>
      </c>
      <c r="AC40">
        <f>HYPERLINK("https://klasma.github.io/Logging_1256/tillsyn/A 45359-2023 tillsynsbegäran.docx", "A 45359-2023")</f>
        <v/>
      </c>
      <c r="AD40">
        <f>HYPERLINK("https://klasma.github.io/Logging_1256/tillsynsmail/A 45359-2023 tillsynsbegäran mail.docx", "A 45359-2023")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46255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46255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34344-2025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45846</v>
      </c>
      <c r="E43" s="1" t="n">
        <v>46255</v>
      </c>
      <c r="F43" t="inlineStr">
        <is>
          <t>SKÅNE LÄN</t>
        </is>
      </c>
      <c r="G43" t="inlineStr">
        <is>
          <t>ÖSTRA GÖINGE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Huggorm</t>
        </is>
      </c>
      <c r="W43">
        <f>HYPERLINK("https://klasma.github.io/Logging_1256/artfynd/A 34344-2025 artfynd.xlsx", "A 34344-2025")</f>
        <v/>
      </c>
      <c r="X43">
        <f>HYPERLINK("https://klasma.github.io/Logging_1256/kartor/A 34344-2025 karta.png", "A 34344-2025")</f>
        <v/>
      </c>
      <c r="Y43">
        <f>HYPERLINK("https://klasma.github.io/Logging_1256/kartor_geotiff/A 34344-2025 georefererad karta.tif", "A 34344-2025")</f>
        <v/>
      </c>
      <c r="AA43">
        <f>HYPERLINK("https://klasma.github.io/Logging_1256/klagomål/A 34344-2025 FSC-klagomål.docx", "A 34344-2025")</f>
        <v/>
      </c>
      <c r="AB43">
        <f>HYPERLINK("https://klasma.github.io/Logging_1256/klagomålsmail/A 34344-2025 FSC-klagomål mail.docx", "A 34344-2025")</f>
        <v/>
      </c>
      <c r="AC43">
        <f>HYPERLINK("https://klasma.github.io/Logging_1256/tillsyn/A 34344-2025 tillsynsbegäran.docx", "A 34344-2025")</f>
        <v/>
      </c>
      <c r="AD43">
        <f>HYPERLINK("https://klasma.github.io/Logging_1256/tillsynsmail/A 34344-2025 tillsynsbegäran mail.docx", "A 34344-2025")</f>
        <v/>
      </c>
    </row>
    <row r="44" ht="15" customHeight="1">
      <c r="A44" t="inlineStr">
        <is>
          <t>A 9769-2024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46255</v>
      </c>
      <c r="F44" t="inlineStr">
        <is>
          <t>SKÅNE LÄN</t>
        </is>
      </c>
      <c r="G44" t="inlineStr">
        <is>
          <t>ÖSTRA GÖINGE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9769-2024 artfynd.xlsx", "A 9769-2024")</f>
        <v/>
      </c>
      <c r="X44">
        <f>HYPERLINK("https://klasma.github.io/Logging_1256/kartor/A 9769-2024 karta.png", "A 9769-2024")</f>
        <v/>
      </c>
      <c r="Y44">
        <f>HYPERLINK("https://klasma.github.io/Logging_1256/kartor_geotiff/A 9769-2024 georefererad karta.tif", "A 9769-2024")</f>
        <v/>
      </c>
      <c r="AA44">
        <f>HYPERLINK("https://klasma.github.io/Logging_1256/klagomål/A 9769-2024 FSC-klagomål.docx", "A 9769-2024")</f>
        <v/>
      </c>
      <c r="AB44">
        <f>HYPERLINK("https://klasma.github.io/Logging_1256/klagomålsmail/A 9769-2024 FSC-klagomål mail.docx", "A 9769-2024")</f>
        <v/>
      </c>
      <c r="AC44">
        <f>HYPERLINK("https://klasma.github.io/Logging_1256/tillsyn/A 9769-2024 tillsynsbegäran.docx", "A 9769-2024")</f>
        <v/>
      </c>
      <c r="AD44">
        <f>HYPERLINK("https://klasma.github.io/Logging_1256/tillsynsmail/A 9769-2024 tillsynsbegäran mail.docx", "A 9769-2024")</f>
        <v/>
      </c>
    </row>
    <row r="45" ht="15" customHeight="1">
      <c r="A45" t="inlineStr">
        <is>
          <t>A 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45327</v>
      </c>
      <c r="E45" s="1" t="n">
        <v>46255</v>
      </c>
      <c r="F45" t="inlineStr">
        <is>
          <t>SKÅNE LÄN</t>
        </is>
      </c>
      <c r="G45" t="inlineStr">
        <is>
          <t>ÖSTRA GÖINGE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HYPERLINK("https://klasma.github.io/Logging_1256/artfynd/A 4383-2024 artfynd.xlsx", "A 4383-2024")</f>
        <v/>
      </c>
      <c r="X45">
        <f>HYPERLINK("https://klasma.github.io/Logging_1256/kartor/A 4383-2024 karta.png", "A 4383-2024")</f>
        <v/>
      </c>
      <c r="Y45">
        <f>HYPERLINK("https://klasma.github.io/Logging_1256/kartor_geotiff/A 4383-2024 georefererad karta.tif", "A 4383-2024")</f>
        <v/>
      </c>
      <c r="AA45">
        <f>HYPERLINK("https://klasma.github.io/Logging_1256/klagomål/A 4383-2024 FSC-klagomål.docx", "A 4383-2024")</f>
        <v/>
      </c>
      <c r="AB45">
        <f>HYPERLINK("https://klasma.github.io/Logging_1256/klagomålsmail/A 4383-2024 FSC-klagomål mail.docx", "A 4383-2024")</f>
        <v/>
      </c>
      <c r="AC45">
        <f>HYPERLINK("https://klasma.github.io/Logging_1256/tillsyn/A 4383-2024 tillsynsbegäran.docx", "A 4383-2024")</f>
        <v/>
      </c>
      <c r="AD45">
        <f>HYPERLINK("https://klasma.github.io/Logging_1256/tillsynsmail/A 4383-2024 tillsynsbegäran mail.docx", "A 4383-2024")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46255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46255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46255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46255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46255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46255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46255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46255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46255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46255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46255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46255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46255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46255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46255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46255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46255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46255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46255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46255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46255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46255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46255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46255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46255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46255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46255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46255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46255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46255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46255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46255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46255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46255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46255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46255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46255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46255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46255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46255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46255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46255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46255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46255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46255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46255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46255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46255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46255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46255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46255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46255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46255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46255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46255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46255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46255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46255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46255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46255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46255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44764-2021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46255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46255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45435</v>
      </c>
      <c r="E111" s="1" t="n">
        <v>46255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46255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46255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46255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46255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46255</v>
      </c>
      <c r="F116" t="inlineStr">
        <is>
          <t>SKÅNE LÄN</t>
        </is>
      </c>
      <c r="G116" t="inlineStr">
        <is>
          <t>ÖSTRA GÖINGE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46255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46255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46255</v>
      </c>
      <c r="F119" t="inlineStr">
        <is>
          <t>SKÅNE LÄN</t>
        </is>
      </c>
      <c r="G119" t="inlineStr">
        <is>
          <t>ÖSTRA GÖINGE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46255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46255</v>
      </c>
      <c r="F121" t="inlineStr">
        <is>
          <t>SKÅNE LÄN</t>
        </is>
      </c>
      <c r="G121" t="inlineStr">
        <is>
          <t>ÖSTRA GÖINGE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46255</v>
      </c>
      <c r="F122" t="inlineStr">
        <is>
          <t>SKÅNE LÄN</t>
        </is>
      </c>
      <c r="G122" t="inlineStr">
        <is>
          <t>ÖSTRA GÖINGE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45483</v>
      </c>
      <c r="E123" s="1" t="n">
        <v>46255</v>
      </c>
      <c r="F123" t="inlineStr">
        <is>
          <t>SKÅNE LÄN</t>
        </is>
      </c>
      <c r="G123" t="inlineStr">
        <is>
          <t>ÖSTRA GÖINGE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44467</v>
      </c>
      <c r="E124" s="1" t="n">
        <v>46255</v>
      </c>
      <c r="F124" t="inlineStr">
        <is>
          <t>SKÅNE LÄN</t>
        </is>
      </c>
      <c r="G124" t="inlineStr">
        <is>
          <t>ÖSTRA GÖINGE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44981</v>
      </c>
      <c r="E125" s="1" t="n">
        <v>46255</v>
      </c>
      <c r="F125" t="inlineStr">
        <is>
          <t>SKÅNE LÄN</t>
        </is>
      </c>
      <c r="G125" t="inlineStr">
        <is>
          <t>ÖSTRA GÖINGE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46255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46255</v>
      </c>
      <c r="F127" t="inlineStr">
        <is>
          <t>SKÅNE LÄN</t>
        </is>
      </c>
      <c r="G127" t="inlineStr">
        <is>
          <t>ÖSTRA GÖINGE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46255</v>
      </c>
      <c r="F128" t="inlineStr">
        <is>
          <t>SKÅNE LÄN</t>
        </is>
      </c>
      <c r="G128" t="inlineStr">
        <is>
          <t>ÖSTRA GÖINGE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44992</v>
      </c>
      <c r="E129" s="1" t="n">
        <v>46255</v>
      </c>
      <c r="F129" t="inlineStr">
        <is>
          <t>SKÅNE LÄN</t>
        </is>
      </c>
      <c r="G129" t="inlineStr">
        <is>
          <t>ÖSTRA GÖINGE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69375-2021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46255</v>
      </c>
      <c r="F130" t="inlineStr">
        <is>
          <t>SKÅNE LÄN</t>
        </is>
      </c>
      <c r="G130" t="inlineStr">
        <is>
          <t>ÖSTRA GÖINGE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69393-2021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46255</v>
      </c>
      <c r="F131" t="inlineStr">
        <is>
          <t>SKÅNE LÄN</t>
        </is>
      </c>
      <c r="G131" t="inlineStr">
        <is>
          <t>ÖSTRA GÖINGE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35171-2024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45530</v>
      </c>
      <c r="E132" s="1" t="n">
        <v>46255</v>
      </c>
      <c r="F132" t="inlineStr">
        <is>
          <t>SKÅNE LÄN</t>
        </is>
      </c>
      <c r="G132" t="inlineStr">
        <is>
          <t>ÖSTRA GÖINGE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46255</v>
      </c>
      <c r="F133" t="inlineStr">
        <is>
          <t>SKÅNE LÄN</t>
        </is>
      </c>
      <c r="G133" t="inlineStr">
        <is>
          <t>ÖSTRA GÖINGE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46255</v>
      </c>
      <c r="F134" t="inlineStr">
        <is>
          <t>SKÅNE LÄN</t>
        </is>
      </c>
      <c r="G134" t="inlineStr">
        <is>
          <t>ÖSTRA GÖINGE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46255</v>
      </c>
      <c r="F135" t="inlineStr">
        <is>
          <t>SKÅNE LÄN</t>
        </is>
      </c>
      <c r="G135" t="inlineStr">
        <is>
          <t>ÖSTRA GÖINGE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74142-2021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46255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44910</v>
      </c>
      <c r="E137" s="1" t="n">
        <v>46255</v>
      </c>
      <c r="F137" t="inlineStr">
        <is>
          <t>SKÅNE LÄN</t>
        </is>
      </c>
      <c r="G137" t="inlineStr">
        <is>
          <t>ÖSTRA GÖINGE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46255</v>
      </c>
      <c r="F138" t="inlineStr">
        <is>
          <t>SKÅNE LÄN</t>
        </is>
      </c>
      <c r="G138" t="inlineStr">
        <is>
          <t>ÖSTRA GÖINGE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46255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45489</v>
      </c>
      <c r="E140" s="1" t="n">
        <v>46255</v>
      </c>
      <c r="F140" t="inlineStr">
        <is>
          <t>SKÅNE LÄN</t>
        </is>
      </c>
      <c r="G140" t="inlineStr">
        <is>
          <t>ÖSTRA GÖINGE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46255</v>
      </c>
      <c r="F141" t="inlineStr">
        <is>
          <t>SKÅNE LÄN</t>
        </is>
      </c>
      <c r="G141" t="inlineStr">
        <is>
          <t>ÖSTRA GÖINGE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46255</v>
      </c>
      <c r="F142" t="inlineStr">
        <is>
          <t>SKÅNE LÄN</t>
        </is>
      </c>
      <c r="G142" t="inlineStr">
        <is>
          <t>ÖSTRA GÖINGE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57529-2022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46255</v>
      </c>
      <c r="F143" t="inlineStr">
        <is>
          <t>SKÅNE LÄN</t>
        </is>
      </c>
      <c r="G143" t="inlineStr">
        <is>
          <t>ÖSTRA GÖINGE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46255</v>
      </c>
      <c r="F144" t="inlineStr">
        <is>
          <t>SKÅNE LÄN</t>
        </is>
      </c>
      <c r="G144" t="inlineStr">
        <is>
          <t>ÖSTRA GÖINGE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46255</v>
      </c>
      <c r="F145" t="inlineStr">
        <is>
          <t>SKÅNE LÄN</t>
        </is>
      </c>
      <c r="G145" t="inlineStr">
        <is>
          <t>ÖSTRA GÖINGE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45082</v>
      </c>
      <c r="E146" s="1" t="n">
        <v>46255</v>
      </c>
      <c r="F146" t="inlineStr">
        <is>
          <t>SKÅNE LÄN</t>
        </is>
      </c>
      <c r="G146" t="inlineStr">
        <is>
          <t>ÖSTRA GÖINGE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16505-2024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46255</v>
      </c>
      <c r="F147" t="inlineStr">
        <is>
          <t>SKÅNE LÄN</t>
        </is>
      </c>
      <c r="G147" t="inlineStr">
        <is>
          <t>ÖSTRA GÖINGE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46255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45568</v>
      </c>
      <c r="E149" s="1" t="n">
        <v>46255</v>
      </c>
      <c r="F149" t="inlineStr">
        <is>
          <t>SKÅNE LÄN</t>
        </is>
      </c>
      <c r="G149" t="inlineStr">
        <is>
          <t>ÖSTRA GÖINGE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46255</v>
      </c>
      <c r="F150" t="inlineStr">
        <is>
          <t>SKÅNE LÄN</t>
        </is>
      </c>
      <c r="G150" t="inlineStr">
        <is>
          <t>ÖSTRA GÖINGE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46255</v>
      </c>
      <c r="F151" t="inlineStr">
        <is>
          <t>SKÅNE LÄN</t>
        </is>
      </c>
      <c r="G151" t="inlineStr">
        <is>
          <t>ÖSTRA GÖINGE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46255</v>
      </c>
      <c r="F152" t="inlineStr">
        <is>
          <t>SKÅNE LÄN</t>
        </is>
      </c>
      <c r="G152" t="inlineStr">
        <is>
          <t>ÖSTRA GÖINGE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46255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46255</v>
      </c>
      <c r="F154" t="inlineStr">
        <is>
          <t>SKÅNE LÄN</t>
        </is>
      </c>
      <c r="G154" t="inlineStr">
        <is>
          <t>ÖSTRA GÖINGE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46255</v>
      </c>
      <c r="F155" t="inlineStr">
        <is>
          <t>SKÅNE LÄN</t>
        </is>
      </c>
      <c r="G155" t="inlineStr">
        <is>
          <t>ÖSTRA GÖINGE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46255</v>
      </c>
      <c r="F156" t="inlineStr">
        <is>
          <t>SKÅNE LÄN</t>
        </is>
      </c>
      <c r="G156" t="inlineStr">
        <is>
          <t>ÖSTRA GÖINGE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46255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45835</v>
      </c>
      <c r="E158" s="1" t="n">
        <v>46255</v>
      </c>
      <c r="F158" t="inlineStr">
        <is>
          <t>SKÅNE LÄN</t>
        </is>
      </c>
      <c r="G158" t="inlineStr">
        <is>
          <t>ÖSTRA GÖINGE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46255</v>
      </c>
      <c r="F159" t="inlineStr">
        <is>
          <t>SKÅNE LÄN</t>
        </is>
      </c>
      <c r="G159" t="inlineStr">
        <is>
          <t>ÖSTRA GÖINGE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46255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34931-2023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45142</v>
      </c>
      <c r="E161" s="1" t="n">
        <v>46255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46255</v>
      </c>
      <c r="F162" t="inlineStr">
        <is>
          <t>SKÅNE LÄN</t>
        </is>
      </c>
      <c r="G162" t="inlineStr">
        <is>
          <t>ÖSTRA GÖINGE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34687-2025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45848</v>
      </c>
      <c r="E163" s="1" t="n">
        <v>46255</v>
      </c>
      <c r="F163" t="inlineStr">
        <is>
          <t>SKÅNE LÄN</t>
        </is>
      </c>
      <c r="G163" t="inlineStr">
        <is>
          <t>ÖSTRA GÖINGE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45667</v>
      </c>
      <c r="E164" s="1" t="n">
        <v>46255</v>
      </c>
      <c r="F164" t="inlineStr">
        <is>
          <t>SKÅNE LÄN</t>
        </is>
      </c>
      <c r="G164" t="inlineStr">
        <is>
          <t>ÖSTRA GÖINGE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45848</v>
      </c>
      <c r="E165" s="1" t="n">
        <v>46255</v>
      </c>
      <c r="F165" t="inlineStr">
        <is>
          <t>SKÅNE LÄN</t>
        </is>
      </c>
      <c r="G165" t="inlineStr">
        <is>
          <t>ÖSTRA GÖINGE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46255</v>
      </c>
      <c r="F166" t="inlineStr">
        <is>
          <t>SKÅNE LÄN</t>
        </is>
      </c>
      <c r="G166" t="inlineStr">
        <is>
          <t>ÖSTRA GÖINGE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46255</v>
      </c>
      <c r="F167" t="inlineStr">
        <is>
          <t>SKÅNE LÄN</t>
        </is>
      </c>
      <c r="G167" t="inlineStr">
        <is>
          <t>ÖSTRA GÖINGE</t>
        </is>
      </c>
      <c r="H167" t="inlineStr">
        <is>
          <t>Kyrkan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9081-2026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46255</v>
      </c>
      <c r="F168" t="inlineStr">
        <is>
          <t>SKÅNE LÄN</t>
        </is>
      </c>
      <c r="G168" t="inlineStr">
        <is>
          <t>ÖSTRA GÖINGE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46255</v>
      </c>
      <c r="F169" t="inlineStr">
        <is>
          <t>SKÅNE LÄN</t>
        </is>
      </c>
      <c r="G169" t="inlineStr">
        <is>
          <t>ÖSTRA GÖINGE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46255</v>
      </c>
      <c r="F170" t="inlineStr">
        <is>
          <t>SKÅNE LÄN</t>
        </is>
      </c>
      <c r="G170" t="inlineStr">
        <is>
          <t>ÖSTRA GÖINGE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46255</v>
      </c>
      <c r="F171" t="inlineStr">
        <is>
          <t>SKÅNE LÄN</t>
        </is>
      </c>
      <c r="G171" t="inlineStr">
        <is>
          <t>ÖSTRA GÖINGE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46255</v>
      </c>
      <c r="F172" t="inlineStr">
        <is>
          <t>SKÅNE LÄN</t>
        </is>
      </c>
      <c r="G172" t="inlineStr">
        <is>
          <t>ÖSTRA GÖINGE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45146</v>
      </c>
      <c r="E173" s="1" t="n">
        <v>46255</v>
      </c>
      <c r="F173" t="inlineStr">
        <is>
          <t>SKÅNE LÄN</t>
        </is>
      </c>
      <c r="G173" t="inlineStr">
        <is>
          <t>ÖSTRA GÖINGE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46255</v>
      </c>
      <c r="F174" t="inlineStr">
        <is>
          <t>SKÅNE LÄN</t>
        </is>
      </c>
      <c r="G174" t="inlineStr">
        <is>
          <t>ÖSTRA GÖINGE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36324-2022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44803</v>
      </c>
      <c r="E175" s="1" t="n">
        <v>46255</v>
      </c>
      <c r="F175" t="inlineStr">
        <is>
          <t>SKÅNE LÄN</t>
        </is>
      </c>
      <c r="G175" t="inlineStr">
        <is>
          <t>ÖSTRA GÖINGE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46255</v>
      </c>
      <c r="F176" t="inlineStr">
        <is>
          <t>SKÅNE LÄN</t>
        </is>
      </c>
      <c r="G176" t="inlineStr">
        <is>
          <t>ÖSTRA GÖINGE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45638</v>
      </c>
      <c r="E177" s="1" t="n">
        <v>46255</v>
      </c>
      <c r="F177" t="inlineStr">
        <is>
          <t>SKÅNE LÄN</t>
        </is>
      </c>
      <c r="G177" t="inlineStr">
        <is>
          <t>ÖSTRA GÖINGE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45256</v>
      </c>
      <c r="E178" s="1" t="n">
        <v>46255</v>
      </c>
      <c r="F178" t="inlineStr">
        <is>
          <t>SKÅNE LÄN</t>
        </is>
      </c>
      <c r="G178" t="inlineStr">
        <is>
          <t>ÖSTRA GÖINGE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45622</v>
      </c>
      <c r="E179" s="1" t="n">
        <v>46255</v>
      </c>
      <c r="F179" t="inlineStr">
        <is>
          <t>SKÅNE LÄN</t>
        </is>
      </c>
      <c r="G179" t="inlineStr">
        <is>
          <t>ÖSTRA GÖINGE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46255</v>
      </c>
      <c r="F180" t="inlineStr">
        <is>
          <t>SKÅNE LÄN</t>
        </is>
      </c>
      <c r="G180" t="inlineStr">
        <is>
          <t>ÖSTRA GÖINGE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46255</v>
      </c>
      <c r="F181" t="inlineStr">
        <is>
          <t>SKÅNE LÄN</t>
        </is>
      </c>
      <c r="G181" t="inlineStr">
        <is>
          <t>ÖSTRA GÖINGE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46255</v>
      </c>
      <c r="F182" t="inlineStr">
        <is>
          <t>SKÅNE LÄN</t>
        </is>
      </c>
      <c r="G182" t="inlineStr">
        <is>
          <t>ÖSTRA GÖINGE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46255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46255</v>
      </c>
      <c r="F184" t="inlineStr">
        <is>
          <t>SKÅNE LÄN</t>
        </is>
      </c>
      <c r="G184" t="inlineStr">
        <is>
          <t>ÖSTRA GÖINGE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46255</v>
      </c>
      <c r="F185" t="inlineStr">
        <is>
          <t>SKÅNE LÄN</t>
        </is>
      </c>
      <c r="G185" t="inlineStr">
        <is>
          <t>ÖSTRA GÖINGE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46255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46255</v>
      </c>
      <c r="F187" t="inlineStr">
        <is>
          <t>SKÅNE LÄN</t>
        </is>
      </c>
      <c r="G187" t="inlineStr">
        <is>
          <t>ÖSTRA GÖINGE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45856</v>
      </c>
      <c r="E188" s="1" t="n">
        <v>46255</v>
      </c>
      <c r="F188" t="inlineStr">
        <is>
          <t>SKÅNE LÄN</t>
        </is>
      </c>
      <c r="G188" t="inlineStr">
        <is>
          <t>ÖSTRA GÖINGE</t>
        </is>
      </c>
      <c r="I188" t="n">
        <v>11.9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45856</v>
      </c>
      <c r="E189" s="1" t="n">
        <v>46255</v>
      </c>
      <c r="F189" t="inlineStr">
        <is>
          <t>SKÅNE LÄN</t>
        </is>
      </c>
      <c r="G189" t="inlineStr">
        <is>
          <t>ÖSTRA GÖINGE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45674</v>
      </c>
      <c r="E190" s="1" t="n">
        <v>46255</v>
      </c>
      <c r="F190" t="inlineStr">
        <is>
          <t>SKÅNE LÄN</t>
        </is>
      </c>
      <c r="G190" t="inlineStr">
        <is>
          <t>ÖSTRA GÖINGE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46255</v>
      </c>
      <c r="F191" t="inlineStr">
        <is>
          <t>SKÅNE LÄN</t>
        </is>
      </c>
      <c r="G191" t="inlineStr">
        <is>
          <t>ÖSTRA GÖINGE</t>
        </is>
      </c>
      <c r="I191" t="n">
        <v>7.4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48707-2025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45935</v>
      </c>
      <c r="E192" s="1" t="n">
        <v>46255</v>
      </c>
      <c r="F192" t="inlineStr">
        <is>
          <t>SKÅNE LÄN</t>
        </is>
      </c>
      <c r="G192" t="inlineStr">
        <is>
          <t>ÖSTRA GÖINGE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46255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45147</v>
      </c>
      <c r="E194" s="1" t="n">
        <v>46255</v>
      </c>
      <c r="F194" t="inlineStr">
        <is>
          <t>SKÅNE LÄN</t>
        </is>
      </c>
      <c r="G194" t="inlineStr">
        <is>
          <t>ÖSTRA GÖINGE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46255</v>
      </c>
      <c r="F195" t="inlineStr">
        <is>
          <t>SKÅNE LÄN</t>
        </is>
      </c>
      <c r="G195" t="inlineStr">
        <is>
          <t>ÖSTRA GÖINGE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46255</v>
      </c>
      <c r="F196" t="inlineStr">
        <is>
          <t>SKÅNE LÄN</t>
        </is>
      </c>
      <c r="G196" t="inlineStr">
        <is>
          <t>ÖSTRA GÖINGE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35825-2023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46255</v>
      </c>
      <c r="F197" t="inlineStr">
        <is>
          <t>SKÅNE LÄN</t>
        </is>
      </c>
      <c r="G197" t="inlineStr">
        <is>
          <t>ÖSTRA GÖINGE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45022</v>
      </c>
      <c r="E198" s="1" t="n">
        <v>46255</v>
      </c>
      <c r="F198" t="inlineStr">
        <is>
          <t>SKÅNE LÄN</t>
        </is>
      </c>
      <c r="G198" t="inlineStr">
        <is>
          <t>ÖSTRA GÖINGE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41548-2022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44826</v>
      </c>
      <c r="E199" s="1" t="n">
        <v>46255</v>
      </c>
      <c r="F199" t="inlineStr">
        <is>
          <t>SKÅNE LÄN</t>
        </is>
      </c>
      <c r="G199" t="inlineStr">
        <is>
          <t>ÖSTRA GÖINGE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46255</v>
      </c>
      <c r="F200" t="inlineStr">
        <is>
          <t>SKÅNE LÄN</t>
        </is>
      </c>
      <c r="G200" t="inlineStr">
        <is>
          <t>ÖSTRA GÖINGE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45239</v>
      </c>
      <c r="E201" s="1" t="n">
        <v>46255</v>
      </c>
      <c r="F201" t="inlineStr">
        <is>
          <t>SKÅNE LÄN</t>
        </is>
      </c>
      <c r="G201" t="inlineStr">
        <is>
          <t>ÖSTRA GÖINGE</t>
        </is>
      </c>
      <c r="I201" t="n">
        <v>10.6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46255</v>
      </c>
      <c r="F202" t="inlineStr">
        <is>
          <t>SKÅNE LÄN</t>
        </is>
      </c>
      <c r="G202" t="inlineStr">
        <is>
          <t>ÖSTRA GÖINGE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46255</v>
      </c>
      <c r="F203" t="inlineStr">
        <is>
          <t>SKÅNE LÄN</t>
        </is>
      </c>
      <c r="G203" t="inlineStr">
        <is>
          <t>ÖSTRA GÖINGE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50896-2021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44460</v>
      </c>
      <c r="E204" s="1" t="n">
        <v>46255</v>
      </c>
      <c r="F204" t="inlineStr">
        <is>
          <t>SKÅNE LÄN</t>
        </is>
      </c>
      <c r="G204" t="inlineStr">
        <is>
          <t>ÖSTRA GÖINGE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50927-2021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44459</v>
      </c>
      <c r="E205" s="1" t="n">
        <v>46255</v>
      </c>
      <c r="F205" t="inlineStr">
        <is>
          <t>SKÅNE LÄN</t>
        </is>
      </c>
      <c r="G205" t="inlineStr">
        <is>
          <t>ÖSTRA GÖINGE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44886</v>
      </c>
      <c r="E206" s="1" t="n">
        <v>46255</v>
      </c>
      <c r="F206" t="inlineStr">
        <is>
          <t>SKÅNE LÄN</t>
        </is>
      </c>
      <c r="G206" t="inlineStr">
        <is>
          <t>ÖSTRA GÖINGE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46255</v>
      </c>
      <c r="F207" t="inlineStr">
        <is>
          <t>SKÅNE LÄN</t>
        </is>
      </c>
      <c r="G207" t="inlineStr">
        <is>
          <t>ÖSTRA GÖINGE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45198</v>
      </c>
      <c r="E208" s="1" t="n">
        <v>46255</v>
      </c>
      <c r="F208" t="inlineStr">
        <is>
          <t>SKÅNE LÄN</t>
        </is>
      </c>
      <c r="G208" t="inlineStr">
        <is>
          <t>ÖSTRA GÖINGE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61137-2024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46255</v>
      </c>
      <c r="F209" t="inlineStr">
        <is>
          <t>SKÅNE LÄN</t>
        </is>
      </c>
      <c r="G209" t="inlineStr">
        <is>
          <t>ÖSTRA GÖINGE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45539</v>
      </c>
      <c r="E210" s="1" t="n">
        <v>46255</v>
      </c>
      <c r="F210" t="inlineStr">
        <is>
          <t>SKÅNE LÄN</t>
        </is>
      </c>
      <c r="G210" t="inlineStr">
        <is>
          <t>ÖSTRA GÖINGE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46255</v>
      </c>
      <c r="F211" t="inlineStr">
        <is>
          <t>SKÅNE LÄN</t>
        </is>
      </c>
      <c r="G211" t="inlineStr">
        <is>
          <t>ÖSTRA GÖINGE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46255</v>
      </c>
      <c r="F212" t="inlineStr">
        <is>
          <t>SKÅNE LÄN</t>
        </is>
      </c>
      <c r="G212" t="inlineStr">
        <is>
          <t>ÖSTRA GÖINGE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46255</v>
      </c>
      <c r="F213" t="inlineStr">
        <is>
          <t>SKÅNE LÄN</t>
        </is>
      </c>
      <c r="G213" t="inlineStr">
        <is>
          <t>ÖSTRA GÖINGE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45082</v>
      </c>
      <c r="E214" s="1" t="n">
        <v>46255</v>
      </c>
      <c r="F214" t="inlineStr">
        <is>
          <t>SKÅNE LÄN</t>
        </is>
      </c>
      <c r="G214" t="inlineStr">
        <is>
          <t>ÖSTRA GÖINGE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46255</v>
      </c>
      <c r="F215" t="inlineStr">
        <is>
          <t>SKÅNE LÄN</t>
        </is>
      </c>
      <c r="G215" t="inlineStr">
        <is>
          <t>ÖSTRA GÖINGE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46255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45970</v>
      </c>
      <c r="E217" s="1" t="n">
        <v>46255</v>
      </c>
      <c r="F217" t="inlineStr">
        <is>
          <t>SKÅNE LÄN</t>
        </is>
      </c>
      <c r="G217" t="inlineStr">
        <is>
          <t>ÖSTRA GÖINGE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45972</v>
      </c>
      <c r="E218" s="1" t="n">
        <v>46255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46255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11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55843-2025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46255</v>
      </c>
      <c r="F220" t="inlineStr">
        <is>
          <t>SKÅNE LÄN</t>
        </is>
      </c>
      <c r="G220" t="inlineStr">
        <is>
          <t>ÖSTRA GÖINGE</t>
        </is>
      </c>
      <c r="H220" t="inlineStr">
        <is>
          <t>Sveaskog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46255</v>
      </c>
      <c r="F221" t="inlineStr">
        <is>
          <t>SKÅNE LÄN</t>
        </is>
      </c>
      <c r="G221" t="inlineStr">
        <is>
          <t>ÖSTRA GÖINGE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46255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46255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46255</v>
      </c>
      <c r="F224" t="inlineStr">
        <is>
          <t>SKÅNE LÄN</t>
        </is>
      </c>
      <c r="G224" t="inlineStr">
        <is>
          <t>ÖSTRA GÖINGE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46255</v>
      </c>
      <c r="F225" t="inlineStr">
        <is>
          <t>SKÅNE LÄN</t>
        </is>
      </c>
      <c r="G225" t="inlineStr">
        <is>
          <t>ÖSTRA GÖINGE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46255</v>
      </c>
      <c r="F226" t="inlineStr">
        <is>
          <t>SKÅNE LÄN</t>
        </is>
      </c>
      <c r="G226" t="inlineStr">
        <is>
          <t>ÖSTRA GÖINGE</t>
        </is>
      </c>
      <c r="I226" t="n">
        <v>12.8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46255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46255</v>
      </c>
      <c r="F228" t="inlineStr">
        <is>
          <t>SKÅNE LÄN</t>
        </is>
      </c>
      <c r="G228" t="inlineStr">
        <is>
          <t>ÖSTRA GÖINGE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46255</v>
      </c>
      <c r="F229" t="inlineStr">
        <is>
          <t>SKÅNE LÄN</t>
        </is>
      </c>
      <c r="G229" t="inlineStr">
        <is>
          <t>ÖSTRA GÖINGE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46255</v>
      </c>
      <c r="F230" t="inlineStr">
        <is>
          <t>SKÅNE LÄN</t>
        </is>
      </c>
      <c r="G230" t="inlineStr">
        <is>
          <t>ÖSTRA GÖINGE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46255</v>
      </c>
      <c r="F231" t="inlineStr">
        <is>
          <t>SKÅNE LÄN</t>
        </is>
      </c>
      <c r="G231" t="inlineStr">
        <is>
          <t>ÖSTRA GÖINGE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46255</v>
      </c>
      <c r="F232" t="inlineStr">
        <is>
          <t>SKÅNE LÄN</t>
        </is>
      </c>
      <c r="G232" t="inlineStr">
        <is>
          <t>ÖSTRA GÖINGE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50922-2021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44459</v>
      </c>
      <c r="E233" s="1" t="n">
        <v>46255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45091</v>
      </c>
      <c r="E234" s="1" t="n">
        <v>46255</v>
      </c>
      <c r="F234" t="inlineStr">
        <is>
          <t>SKÅNE LÄN</t>
        </is>
      </c>
      <c r="G234" t="inlineStr">
        <is>
          <t>ÖSTRA GÖINGE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46255</v>
      </c>
      <c r="F235" t="inlineStr">
        <is>
          <t>SKÅNE LÄN</t>
        </is>
      </c>
      <c r="G235" t="inlineStr">
        <is>
          <t>ÖSTRA GÖINGE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46255</v>
      </c>
      <c r="F236" t="inlineStr">
        <is>
          <t>SKÅNE LÄN</t>
        </is>
      </c>
      <c r="G236" t="inlineStr">
        <is>
          <t>ÖSTRA GÖINGE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69384-2021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44531</v>
      </c>
      <c r="E237" s="1" t="n">
        <v>46255</v>
      </c>
      <c r="F237" t="inlineStr">
        <is>
          <t>SKÅNE LÄN</t>
        </is>
      </c>
      <c r="G237" t="inlineStr">
        <is>
          <t>ÖSTRA GÖINGE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46255</v>
      </c>
      <c r="F238" t="inlineStr">
        <is>
          <t>SKÅNE LÄN</t>
        </is>
      </c>
      <c r="G238" t="inlineStr">
        <is>
          <t>ÖSTRA GÖINGE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45105</v>
      </c>
      <c r="E239" s="1" t="n">
        <v>46255</v>
      </c>
      <c r="F239" t="inlineStr">
        <is>
          <t>SKÅNE LÄN</t>
        </is>
      </c>
      <c r="G239" t="inlineStr">
        <is>
          <t>ÖSTRA GÖINGE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54450-2025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46255</v>
      </c>
      <c r="F240" t="inlineStr">
        <is>
          <t>SKÅNE LÄN</t>
        </is>
      </c>
      <c r="G240" t="inlineStr">
        <is>
          <t>ÖSTRA GÖINGE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46255</v>
      </c>
      <c r="F241" t="inlineStr">
        <is>
          <t>SKÅNE LÄN</t>
        </is>
      </c>
      <c r="G241" t="inlineStr">
        <is>
          <t>ÖSTRA GÖINGE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46255</v>
      </c>
      <c r="F242" t="inlineStr">
        <is>
          <t>SKÅNE LÄN</t>
        </is>
      </c>
      <c r="G242" t="inlineStr">
        <is>
          <t>ÖSTRA GÖINGE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71741-2021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44539</v>
      </c>
      <c r="E243" s="1" t="n">
        <v>46255</v>
      </c>
      <c r="F243" t="inlineStr">
        <is>
          <t>SKÅNE LÄN</t>
        </is>
      </c>
      <c r="G243" t="inlineStr">
        <is>
          <t>ÖSTRA GÖINGE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46255</v>
      </c>
      <c r="F244" t="inlineStr">
        <is>
          <t>SKÅNE LÄN</t>
        </is>
      </c>
      <c r="G244" t="inlineStr">
        <is>
          <t>ÖSTRA GÖINGE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46255</v>
      </c>
      <c r="F245" t="inlineStr">
        <is>
          <t>SKÅNE LÄN</t>
        </is>
      </c>
      <c r="G245" t="inlineStr">
        <is>
          <t>ÖSTRA GÖINGE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46255</v>
      </c>
      <c r="F246" t="inlineStr">
        <is>
          <t>SKÅNE LÄN</t>
        </is>
      </c>
      <c r="G246" t="inlineStr">
        <is>
          <t>ÖSTRA GÖINGE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55716-2024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45622</v>
      </c>
      <c r="E247" s="1" t="n">
        <v>46255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46255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46255</v>
      </c>
      <c r="F249" t="inlineStr">
        <is>
          <t>SKÅNE LÄN</t>
        </is>
      </c>
      <c r="G249" t="inlineStr">
        <is>
          <t>ÖSTRA GÖINGE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45142</v>
      </c>
      <c r="E250" s="1" t="n">
        <v>46255</v>
      </c>
      <c r="F250" t="inlineStr">
        <is>
          <t>SKÅNE LÄN</t>
        </is>
      </c>
      <c r="G250" t="inlineStr">
        <is>
          <t>ÖSTRA GÖINGE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46255</v>
      </c>
      <c r="F251" t="inlineStr">
        <is>
          <t>SKÅNE LÄN</t>
        </is>
      </c>
      <c r="G251" t="inlineStr">
        <is>
          <t>ÖSTRA GÖINGE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46255</v>
      </c>
      <c r="F252" t="inlineStr">
        <is>
          <t>SKÅNE LÄN</t>
        </is>
      </c>
      <c r="G252" t="inlineStr">
        <is>
          <t>ÖSTRA GÖINGE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46255</v>
      </c>
      <c r="F253" t="inlineStr">
        <is>
          <t>SKÅNE LÄN</t>
        </is>
      </c>
      <c r="G253" t="inlineStr">
        <is>
          <t>ÖSTRA GÖINGE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45029</v>
      </c>
      <c r="E254" s="1" t="n">
        <v>46255</v>
      </c>
      <c r="F254" t="inlineStr">
        <is>
          <t>SKÅNE LÄN</t>
        </is>
      </c>
      <c r="G254" t="inlineStr">
        <is>
          <t>ÖSTRA GÖINGE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46255</v>
      </c>
      <c r="F255" t="inlineStr">
        <is>
          <t>SKÅNE LÄN</t>
        </is>
      </c>
      <c r="G255" t="inlineStr">
        <is>
          <t>ÖSTRA GÖINGE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46255</v>
      </c>
      <c r="F256" t="inlineStr">
        <is>
          <t>SKÅNE LÄN</t>
        </is>
      </c>
      <c r="G256" t="inlineStr">
        <is>
          <t>ÖSTRA GÖINGE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46255</v>
      </c>
      <c r="F257" t="inlineStr">
        <is>
          <t>SKÅNE LÄN</t>
        </is>
      </c>
      <c r="G257" t="inlineStr">
        <is>
          <t>ÖSTRA GÖINGE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45267</v>
      </c>
      <c r="E258" s="1" t="n">
        <v>46255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46255</v>
      </c>
      <c r="F259" t="inlineStr">
        <is>
          <t>SKÅNE LÄN</t>
        </is>
      </c>
      <c r="G259" t="inlineStr">
        <is>
          <t>ÖSTRA GÖINGE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46255</v>
      </c>
      <c r="F260" t="inlineStr">
        <is>
          <t>SKÅNE LÄN</t>
        </is>
      </c>
      <c r="G260" t="inlineStr">
        <is>
          <t>ÖSTRA GÖINGE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45538</v>
      </c>
      <c r="E261" s="1" t="n">
        <v>46255</v>
      </c>
      <c r="F261" t="inlineStr">
        <is>
          <t>SKÅNE LÄN</t>
        </is>
      </c>
      <c r="G261" t="inlineStr">
        <is>
          <t>ÖSTRA GÖINGE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46255</v>
      </c>
      <c r="F262" t="inlineStr">
        <is>
          <t>SKÅNE LÄN</t>
        </is>
      </c>
      <c r="G262" t="inlineStr">
        <is>
          <t>ÖSTRA GÖINGE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46255</v>
      </c>
      <c r="F263" t="inlineStr">
        <is>
          <t>SKÅNE LÄN</t>
        </is>
      </c>
      <c r="G263" t="inlineStr">
        <is>
          <t>ÖSTRA GÖINGE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46255</v>
      </c>
      <c r="F264" t="inlineStr">
        <is>
          <t>SKÅNE LÄN</t>
        </is>
      </c>
      <c r="G264" t="inlineStr">
        <is>
          <t>ÖSTRA GÖINGE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46255</v>
      </c>
      <c r="F265" t="inlineStr">
        <is>
          <t>SKÅNE LÄN</t>
        </is>
      </c>
      <c r="G265" t="inlineStr">
        <is>
          <t>ÖSTRA GÖINGE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46255</v>
      </c>
      <c r="F266" t="inlineStr">
        <is>
          <t>SKÅNE LÄN</t>
        </is>
      </c>
      <c r="G266" t="inlineStr">
        <is>
          <t>ÖSTRA GÖINGE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45428</v>
      </c>
      <c r="E267" s="1" t="n">
        <v>46255</v>
      </c>
      <c r="F267" t="inlineStr">
        <is>
          <t>SKÅNE LÄN</t>
        </is>
      </c>
      <c r="G267" t="inlineStr">
        <is>
          <t>ÖSTRA GÖINGE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29284-2023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45105</v>
      </c>
      <c r="E268" s="1" t="n">
        <v>46255</v>
      </c>
      <c r="F268" t="inlineStr">
        <is>
          <t>SKÅNE LÄN</t>
        </is>
      </c>
      <c r="G268" t="inlineStr">
        <is>
          <t>ÖSTRA GÖINGE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45085</v>
      </c>
      <c r="E269" s="1" t="n">
        <v>46255</v>
      </c>
      <c r="F269" t="inlineStr">
        <is>
          <t>SKÅNE LÄN</t>
        </is>
      </c>
      <c r="G269" t="inlineStr">
        <is>
          <t>ÖSTRA GÖINGE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19051-2026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46255</v>
      </c>
      <c r="F270" t="inlineStr">
        <is>
          <t>SKÅNE LÄN</t>
        </is>
      </c>
      <c r="G270" t="inlineStr">
        <is>
          <t>ÖSTRA GÖINGE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46255</v>
      </c>
      <c r="F271" t="inlineStr">
        <is>
          <t>SKÅNE LÄN</t>
        </is>
      </c>
      <c r="G271" t="inlineStr">
        <is>
          <t>ÖSTRA GÖINGE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46255</v>
      </c>
      <c r="F272" t="inlineStr">
        <is>
          <t>SKÅNE LÄN</t>
        </is>
      </c>
      <c r="G272" t="inlineStr">
        <is>
          <t>ÖSTRA GÖINGE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46255</v>
      </c>
      <c r="F273" t="inlineStr">
        <is>
          <t>SKÅNE LÄN</t>
        </is>
      </c>
      <c r="G273" t="inlineStr">
        <is>
          <t>ÖSTRA GÖINGE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46255</v>
      </c>
      <c r="F274" t="inlineStr">
        <is>
          <t>SKÅNE LÄN</t>
        </is>
      </c>
      <c r="G274" t="inlineStr">
        <is>
          <t>ÖSTRA GÖINGE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46255</v>
      </c>
      <c r="F275" t="inlineStr">
        <is>
          <t>SKÅNE LÄN</t>
        </is>
      </c>
      <c r="G275" t="inlineStr">
        <is>
          <t>ÖSTRA GÖINGE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44981</v>
      </c>
      <c r="E276" s="1" t="n">
        <v>46255</v>
      </c>
      <c r="F276" t="inlineStr">
        <is>
          <t>SKÅNE LÄN</t>
        </is>
      </c>
      <c r="G276" t="inlineStr">
        <is>
          <t>ÖSTRA GÖINGE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19192-2026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46255</v>
      </c>
      <c r="F277" t="inlineStr">
        <is>
          <t>SKÅNE LÄN</t>
        </is>
      </c>
      <c r="G277" t="inlineStr">
        <is>
          <t>ÖSTRA GÖINGE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46255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46132</v>
      </c>
      <c r="E279" s="1" t="n">
        <v>46255</v>
      </c>
      <c r="F279" t="inlineStr">
        <is>
          <t>SKÅNE LÄN</t>
        </is>
      </c>
      <c r="G279" t="inlineStr">
        <is>
          <t>ÖSTRA GÖINGE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44977</v>
      </c>
      <c r="E280" s="1" t="n">
        <v>46255</v>
      </c>
      <c r="F280" t="inlineStr">
        <is>
          <t>SKÅNE LÄN</t>
        </is>
      </c>
      <c r="G280" t="inlineStr">
        <is>
          <t>ÖSTRA GÖINGE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45139</v>
      </c>
      <c r="E281" s="1" t="n">
        <v>46255</v>
      </c>
      <c r="F281" t="inlineStr">
        <is>
          <t>SKÅNE LÄN</t>
        </is>
      </c>
      <c r="G281" t="inlineStr">
        <is>
          <t>ÖSTRA GÖINGE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45117</v>
      </c>
      <c r="E282" s="1" t="n">
        <v>46255</v>
      </c>
      <c r="F282" t="inlineStr">
        <is>
          <t>SKÅNE LÄN</t>
        </is>
      </c>
      <c r="G282" t="inlineStr">
        <is>
          <t>ÖSTRA GÖINGE</t>
        </is>
      </c>
      <c r="H282" t="inlineStr">
        <is>
          <t>Sveaskog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46255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46255</v>
      </c>
      <c r="F284" t="inlineStr">
        <is>
          <t>SKÅNE LÄN</t>
        </is>
      </c>
      <c r="G284" t="inlineStr">
        <is>
          <t>ÖSTRA GÖINGE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46255</v>
      </c>
      <c r="F285" t="inlineStr">
        <is>
          <t>SKÅNE LÄN</t>
        </is>
      </c>
      <c r="G285" t="inlineStr">
        <is>
          <t>ÖSTRA GÖINGE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46255</v>
      </c>
      <c r="F286" t="inlineStr">
        <is>
          <t>SKÅNE LÄN</t>
        </is>
      </c>
      <c r="G286" t="inlineStr">
        <is>
          <t>ÖSTRA GÖINGE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46255</v>
      </c>
      <c r="F287" t="inlineStr">
        <is>
          <t>SKÅNE LÄN</t>
        </is>
      </c>
      <c r="G287" t="inlineStr">
        <is>
          <t>ÖSTRA GÖINGE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46255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46255</v>
      </c>
      <c r="F289" t="inlineStr">
        <is>
          <t>SKÅNE LÄN</t>
        </is>
      </c>
      <c r="G289" t="inlineStr">
        <is>
          <t>ÖSTRA GÖINGE</t>
        </is>
      </c>
      <c r="H289" t="inlineStr">
        <is>
          <t>Sveaskog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46255</v>
      </c>
      <c r="F290" t="inlineStr">
        <is>
          <t>SKÅNE LÄN</t>
        </is>
      </c>
      <c r="G290" t="inlineStr">
        <is>
          <t>ÖSTRA GÖINGE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46255</v>
      </c>
      <c r="F291" t="inlineStr">
        <is>
          <t>SKÅNE LÄN</t>
        </is>
      </c>
      <c r="G291" t="inlineStr">
        <is>
          <t>ÖSTRA GÖINGE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7057-2026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46057</v>
      </c>
      <c r="E292" s="1" t="n">
        <v>46255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45874</v>
      </c>
      <c r="E293" s="1" t="n">
        <v>46255</v>
      </c>
      <c r="F293" t="inlineStr">
        <is>
          <t>SKÅNE LÄN</t>
        </is>
      </c>
      <c r="G293" t="inlineStr">
        <is>
          <t>ÖSTRA GÖINGE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46255</v>
      </c>
      <c r="F294" t="inlineStr">
        <is>
          <t>SKÅNE LÄN</t>
        </is>
      </c>
      <c r="G294" t="inlineStr">
        <is>
          <t>ÖSTRA GÖINGE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45636</v>
      </c>
      <c r="E295" s="1" t="n">
        <v>46255</v>
      </c>
      <c r="F295" t="inlineStr">
        <is>
          <t>SKÅNE LÄN</t>
        </is>
      </c>
      <c r="G295" t="inlineStr">
        <is>
          <t>ÖSTRA GÖINGE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46255</v>
      </c>
      <c r="F296" t="inlineStr">
        <is>
          <t>SKÅNE LÄN</t>
        </is>
      </c>
      <c r="G296" t="inlineStr">
        <is>
          <t>ÖSTRA GÖINGE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46255</v>
      </c>
      <c r="F297" t="inlineStr">
        <is>
          <t>SKÅNE LÄN</t>
        </is>
      </c>
      <c r="G297" t="inlineStr">
        <is>
          <t>ÖSTRA GÖINGE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45541</v>
      </c>
      <c r="E298" s="1" t="n">
        <v>46255</v>
      </c>
      <c r="F298" t="inlineStr">
        <is>
          <t>SKÅNE LÄN</t>
        </is>
      </c>
      <c r="G298" t="inlineStr">
        <is>
          <t>ÖSTRA GÖINGE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45541</v>
      </c>
      <c r="E299" s="1" t="n">
        <v>46255</v>
      </c>
      <c r="F299" t="inlineStr">
        <is>
          <t>SKÅNE LÄN</t>
        </is>
      </c>
      <c r="G299" t="inlineStr">
        <is>
          <t>ÖSTRA GÖINGE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46255</v>
      </c>
      <c r="F300" t="inlineStr">
        <is>
          <t>SKÅNE LÄN</t>
        </is>
      </c>
      <c r="G300" t="inlineStr">
        <is>
          <t>ÖSTRA GÖINGE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46279-2024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45581</v>
      </c>
      <c r="E301" s="1" t="n">
        <v>46255</v>
      </c>
      <c r="F301" t="inlineStr">
        <is>
          <t>SKÅNE LÄN</t>
        </is>
      </c>
      <c r="G301" t="inlineStr">
        <is>
          <t>ÖSTRA GÖINGE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49795-2025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45939</v>
      </c>
      <c r="E302" s="1" t="n">
        <v>46255</v>
      </c>
      <c r="F302" t="inlineStr">
        <is>
          <t>SKÅNE LÄN</t>
        </is>
      </c>
      <c r="G302" t="inlineStr">
        <is>
          <t>ÖSTRA GÖINGE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45321</v>
      </c>
      <c r="E303" s="1" t="n">
        <v>46255</v>
      </c>
      <c r="F303" t="inlineStr">
        <is>
          <t>SKÅNE LÄN</t>
        </is>
      </c>
      <c r="G303" t="inlineStr">
        <is>
          <t>ÖSTRA GÖINGE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43660-2024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45569</v>
      </c>
      <c r="E304" s="1" t="n">
        <v>46255</v>
      </c>
      <c r="F304" t="inlineStr">
        <is>
          <t>SKÅNE LÄN</t>
        </is>
      </c>
      <c r="G304" t="inlineStr">
        <is>
          <t>ÖSTRA GÖINGE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46255</v>
      </c>
      <c r="F305" t="inlineStr">
        <is>
          <t>SKÅNE LÄN</t>
        </is>
      </c>
      <c r="G305" t="inlineStr">
        <is>
          <t>ÖSTRA GÖINGE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10497-2022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44623</v>
      </c>
      <c r="E306" s="1" t="n">
        <v>46255</v>
      </c>
      <c r="F306" t="inlineStr">
        <is>
          <t>SKÅNE LÄN</t>
        </is>
      </c>
      <c r="G306" t="inlineStr">
        <is>
          <t>ÖSTRA GÖINGE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45076</v>
      </c>
      <c r="E307" s="1" t="n">
        <v>46255</v>
      </c>
      <c r="F307" t="inlineStr">
        <is>
          <t>SKÅNE LÄN</t>
        </is>
      </c>
      <c r="G307" t="inlineStr">
        <is>
          <t>ÖSTRA GÖINGE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45076</v>
      </c>
      <c r="E308" s="1" t="n">
        <v>46255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45172</v>
      </c>
      <c r="E309" s="1" t="n">
        <v>46255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46255</v>
      </c>
      <c r="F310" t="inlineStr">
        <is>
          <t>SKÅNE LÄN</t>
        </is>
      </c>
      <c r="G310" t="inlineStr">
        <is>
          <t>ÖSTRA GÖINGE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46255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42192-2023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45179</v>
      </c>
      <c r="E312" s="1" t="n">
        <v>46255</v>
      </c>
      <c r="F312" t="inlineStr">
        <is>
          <t>SKÅNE LÄN</t>
        </is>
      </c>
      <c r="G312" t="inlineStr">
        <is>
          <t>ÖSTRA GÖINGE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35680-2023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46255</v>
      </c>
      <c r="F313" t="inlineStr">
        <is>
          <t>SKÅNE LÄN</t>
        </is>
      </c>
      <c r="G313" t="inlineStr">
        <is>
          <t>ÖSTRA GÖINGE</t>
        </is>
      </c>
      <c r="I313" t="n">
        <v>15.4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46255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46255</v>
      </c>
      <c r="F315" t="inlineStr">
        <is>
          <t>SKÅNE LÄN</t>
        </is>
      </c>
      <c r="G315" t="inlineStr">
        <is>
          <t>ÖSTRA GÖINGE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46255</v>
      </c>
      <c r="F316" t="inlineStr">
        <is>
          <t>SKÅNE LÄN</t>
        </is>
      </c>
      <c r="G316" t="inlineStr">
        <is>
          <t>ÖSTRA GÖINGE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46255</v>
      </c>
      <c r="F317" t="inlineStr">
        <is>
          <t>SKÅNE LÄN</t>
        </is>
      </c>
      <c r="G317" t="inlineStr">
        <is>
          <t>ÖSTRA GÖINGE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45774</v>
      </c>
      <c r="E318" s="1" t="n">
        <v>46255</v>
      </c>
      <c r="F318" t="inlineStr">
        <is>
          <t>SKÅNE LÄN</t>
        </is>
      </c>
      <c r="G318" t="inlineStr">
        <is>
          <t>ÖSTRA GÖINGE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46255</v>
      </c>
      <c r="F319" t="inlineStr">
        <is>
          <t>SKÅNE LÄN</t>
        </is>
      </c>
      <c r="G319" t="inlineStr">
        <is>
          <t>ÖSTRA GÖINGE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44686</v>
      </c>
      <c r="E320" s="1" t="n">
        <v>46255</v>
      </c>
      <c r="F320" t="inlineStr">
        <is>
          <t>SKÅNE LÄN</t>
        </is>
      </c>
      <c r="G320" t="inlineStr">
        <is>
          <t>ÖSTRA GÖINGE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44742</v>
      </c>
      <c r="E321" s="1" t="n">
        <v>46255</v>
      </c>
      <c r="F321" t="inlineStr">
        <is>
          <t>SKÅNE LÄN</t>
        </is>
      </c>
      <c r="G321" t="inlineStr">
        <is>
          <t>ÖSTRA GÖINGE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46255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45198</v>
      </c>
      <c r="E323" s="1" t="n">
        <v>46255</v>
      </c>
      <c r="F323" t="inlineStr">
        <is>
          <t>SKÅNE LÄN</t>
        </is>
      </c>
      <c r="G323" t="inlineStr">
        <is>
          <t>ÖSTRA GÖINGE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32514-2023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46255</v>
      </c>
      <c r="F324" t="inlineStr">
        <is>
          <t>SKÅNE LÄN</t>
        </is>
      </c>
      <c r="G324" t="inlineStr">
        <is>
          <t>ÖSTRA GÖINGE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44840</v>
      </c>
      <c r="E325" s="1" t="n">
        <v>46255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46255</v>
      </c>
      <c r="F326" t="inlineStr">
        <is>
          <t>SKÅNE LÄN</t>
        </is>
      </c>
      <c r="G326" t="inlineStr">
        <is>
          <t>ÖSTRA GÖINGE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46255</v>
      </c>
      <c r="F327" t="inlineStr">
        <is>
          <t>SKÅNE LÄN</t>
        </is>
      </c>
      <c r="G327" t="inlineStr">
        <is>
          <t>ÖSTRA GÖINGE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21260-2026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46147</v>
      </c>
      <c r="E328" s="1" t="n">
        <v>46255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45274</v>
      </c>
      <c r="E329" s="1" t="n">
        <v>46255</v>
      </c>
      <c r="F329" t="inlineStr">
        <is>
          <t>SKÅNE LÄN</t>
        </is>
      </c>
      <c r="G329" t="inlineStr">
        <is>
          <t>ÖSTRA GÖINGE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46255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46255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5177-2024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45330</v>
      </c>
      <c r="E332" s="1" t="n">
        <v>46255</v>
      </c>
      <c r="F332" t="inlineStr">
        <is>
          <t>SKÅNE LÄN</t>
        </is>
      </c>
      <c r="G332" t="inlineStr">
        <is>
          <t>ÖSTRA GÖINGE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7739-2024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46255</v>
      </c>
      <c r="F333" t="inlineStr">
        <is>
          <t>SKÅNE LÄN</t>
        </is>
      </c>
      <c r="G333" t="inlineStr">
        <is>
          <t>ÖSTRA GÖINGE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46255</v>
      </c>
      <c r="F334" t="inlineStr">
        <is>
          <t>SKÅNE LÄN</t>
        </is>
      </c>
      <c r="G334" t="inlineStr">
        <is>
          <t>ÖSTRA GÖINGE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46255</v>
      </c>
      <c r="F335" t="inlineStr">
        <is>
          <t>SKÅNE LÄN</t>
        </is>
      </c>
      <c r="G335" t="inlineStr">
        <is>
          <t>ÖSTRA GÖINGE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22327-2026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46255</v>
      </c>
      <c r="F336" t="inlineStr">
        <is>
          <t>SKÅNE LÄN</t>
        </is>
      </c>
      <c r="G336" t="inlineStr">
        <is>
          <t>ÖSTRA GÖINGE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24028-2022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44723</v>
      </c>
      <c r="E337" s="1" t="n">
        <v>46255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45574</v>
      </c>
      <c r="E338" s="1" t="n">
        <v>46255</v>
      </c>
      <c r="F338" t="inlineStr">
        <is>
          <t>SKÅNE LÄN</t>
        </is>
      </c>
      <c r="G338" t="inlineStr">
        <is>
          <t>ÖSTRA GÖINGE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45909</v>
      </c>
      <c r="E339" s="1" t="n">
        <v>46255</v>
      </c>
      <c r="F339" t="inlineStr">
        <is>
          <t>SKÅNE LÄN</t>
        </is>
      </c>
      <c r="G339" t="inlineStr">
        <is>
          <t>ÖSTRA GÖINGE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46255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45310</v>
      </c>
      <c r="E341" s="1" t="n">
        <v>46255</v>
      </c>
      <c r="F341" t="inlineStr">
        <is>
          <t>SKÅNE LÄN</t>
        </is>
      </c>
      <c r="G341" t="inlineStr">
        <is>
          <t>ÖSTRA GÖINGE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45807</v>
      </c>
      <c r="E342" s="1" t="n">
        <v>46255</v>
      </c>
      <c r="F342" t="inlineStr">
        <is>
          <t>SKÅNE LÄN</t>
        </is>
      </c>
      <c r="G342" t="inlineStr">
        <is>
          <t>ÖSTRA GÖINGE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46029</v>
      </c>
      <c r="E343" s="1" t="n">
        <v>46255</v>
      </c>
      <c r="F343" t="inlineStr">
        <is>
          <t>SKÅNE LÄN</t>
        </is>
      </c>
      <c r="G343" t="inlineStr">
        <is>
          <t>ÖSTRA GÖINGE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46255</v>
      </c>
      <c r="F344" t="inlineStr">
        <is>
          <t>SKÅNE LÄN</t>
        </is>
      </c>
      <c r="G344" t="inlineStr">
        <is>
          <t>ÖSTRA GÖINGE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45259</v>
      </c>
      <c r="E345" s="1" t="n">
        <v>46255</v>
      </c>
      <c r="F345" t="inlineStr">
        <is>
          <t>SKÅNE LÄN</t>
        </is>
      </c>
      <c r="G345" t="inlineStr">
        <is>
          <t>ÖSTRA GÖINGE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46255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71747-2021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44539</v>
      </c>
      <c r="E347" s="1" t="n">
        <v>46255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46255</v>
      </c>
      <c r="F348" t="inlineStr">
        <is>
          <t>SKÅNE LÄN</t>
        </is>
      </c>
      <c r="G348" t="inlineStr">
        <is>
          <t>ÖSTRA GÖINGE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44937</v>
      </c>
      <c r="E349" s="1" t="n">
        <v>46255</v>
      </c>
      <c r="F349" t="inlineStr">
        <is>
          <t>SKÅNE LÄN</t>
        </is>
      </c>
      <c r="G349" t="inlineStr">
        <is>
          <t>ÖSTRA GÖINGE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46255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44796</v>
      </c>
      <c r="E351" s="1" t="n">
        <v>46255</v>
      </c>
      <c r="F351" t="inlineStr">
        <is>
          <t>SKÅNE LÄN</t>
        </is>
      </c>
      <c r="G351" t="inlineStr">
        <is>
          <t>ÖSTRA GÖINGE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45686</v>
      </c>
      <c r="E352" s="1" t="n">
        <v>46255</v>
      </c>
      <c r="F352" t="inlineStr">
        <is>
          <t>SKÅNE LÄN</t>
        </is>
      </c>
      <c r="G352" t="inlineStr">
        <is>
          <t>ÖSTRA GÖINGE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64181-2023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45279</v>
      </c>
      <c r="E353" s="1" t="n">
        <v>46255</v>
      </c>
      <c r="F353" t="inlineStr">
        <is>
          <t>SKÅNE LÄN</t>
        </is>
      </c>
      <c r="G353" t="inlineStr">
        <is>
          <t>ÖSTRA GÖINGE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23596-2026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46255</v>
      </c>
      <c r="F354" t="inlineStr">
        <is>
          <t>SKÅNE LÄN</t>
        </is>
      </c>
      <c r="G354" t="inlineStr">
        <is>
          <t>ÖSTRA GÖINGE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23599-2026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46255</v>
      </c>
      <c r="F355" t="inlineStr">
        <is>
          <t>SKÅNE LÄN</t>
        </is>
      </c>
      <c r="G355" t="inlineStr">
        <is>
          <t>ÖSTRA GÖINGE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46255</v>
      </c>
      <c r="F356" t="inlineStr">
        <is>
          <t>SKÅNE LÄN</t>
        </is>
      </c>
      <c r="G356" t="inlineStr">
        <is>
          <t>ÖSTRA GÖINGE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23852-2026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46255</v>
      </c>
      <c r="F357" t="inlineStr">
        <is>
          <t>SKÅNE LÄN</t>
        </is>
      </c>
      <c r="G357" t="inlineStr">
        <is>
          <t>ÖSTRA GÖINGE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66526-2021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44519</v>
      </c>
      <c r="E358" s="1" t="n">
        <v>46255</v>
      </c>
      <c r="F358" t="inlineStr">
        <is>
          <t>SKÅNE LÄN</t>
        </is>
      </c>
      <c r="G358" t="inlineStr">
        <is>
          <t>ÖSTRA GÖINGE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44606</v>
      </c>
      <c r="E359" s="1" t="n">
        <v>46255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44585</v>
      </c>
      <c r="E360" s="1" t="n">
        <v>46255</v>
      </c>
      <c r="F360" t="inlineStr">
        <is>
          <t>SKÅNE LÄN</t>
        </is>
      </c>
      <c r="G360" t="inlineStr">
        <is>
          <t>ÖSTRA GÖINGE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44897</v>
      </c>
      <c r="E361" s="1" t="n">
        <v>46255</v>
      </c>
      <c r="F361" t="inlineStr">
        <is>
          <t>SKÅNE LÄN</t>
        </is>
      </c>
      <c r="G361" t="inlineStr">
        <is>
          <t>ÖSTRA GÖINGE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44852</v>
      </c>
      <c r="E362" s="1" t="n">
        <v>46255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46255</v>
      </c>
      <c r="F363" t="inlineStr">
        <is>
          <t>SKÅNE LÄN</t>
        </is>
      </c>
      <c r="G363" t="inlineStr">
        <is>
          <t>ÖSTRA GÖINGE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46255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44627</v>
      </c>
      <c r="E365" s="1" t="n">
        <v>46255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46255</v>
      </c>
      <c r="F366" t="inlineStr">
        <is>
          <t>SKÅNE LÄN</t>
        </is>
      </c>
      <c r="G366" t="inlineStr">
        <is>
          <t>ÖSTRA GÖINGE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46255</v>
      </c>
      <c r="F367" t="inlineStr">
        <is>
          <t>SKÅNE LÄN</t>
        </is>
      </c>
      <c r="G367" t="inlineStr">
        <is>
          <t>ÖSTRA GÖINGE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10177-2026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46255</v>
      </c>
      <c r="F368" t="inlineStr">
        <is>
          <t>SKÅNE LÄN</t>
        </is>
      </c>
      <c r="G368" t="inlineStr">
        <is>
          <t>ÖSTRA GÖINGE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46255</v>
      </c>
      <c r="F369" t="inlineStr">
        <is>
          <t>SKÅNE LÄN</t>
        </is>
      </c>
      <c r="G369" t="inlineStr">
        <is>
          <t>ÖSTRA GÖINGE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46255</v>
      </c>
      <c r="F370" t="inlineStr">
        <is>
          <t>SKÅNE LÄN</t>
        </is>
      </c>
      <c r="G370" t="inlineStr">
        <is>
          <t>ÖSTRA GÖINGE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34793-2023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45141</v>
      </c>
      <c r="E371" s="1" t="n">
        <v>46255</v>
      </c>
      <c r="F371" t="inlineStr">
        <is>
          <t>SKÅNE LÄN</t>
        </is>
      </c>
      <c r="G371" t="inlineStr">
        <is>
          <t>ÖSTRA GÖINGE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44602</v>
      </c>
      <c r="E372" s="1" t="n">
        <v>46255</v>
      </c>
      <c r="F372" t="inlineStr">
        <is>
          <t>SKÅNE LÄN</t>
        </is>
      </c>
      <c r="G372" t="inlineStr">
        <is>
          <t>ÖSTRA GÖINGE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46255</v>
      </c>
      <c r="F373" t="inlineStr">
        <is>
          <t>SKÅNE LÄN</t>
        </is>
      </c>
      <c r="G373" t="inlineStr">
        <is>
          <t>ÖSTRA GÖINGE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46255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37558-2024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45541</v>
      </c>
      <c r="E375" s="1" t="n">
        <v>46255</v>
      </c>
      <c r="F375" t="inlineStr">
        <is>
          <t>SKÅNE LÄN</t>
        </is>
      </c>
      <c r="G375" t="inlineStr">
        <is>
          <t>ÖSTRA GÖINGE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46255</v>
      </c>
      <c r="F376" t="inlineStr">
        <is>
          <t>SKÅNE LÄN</t>
        </is>
      </c>
      <c r="G376" t="inlineStr">
        <is>
          <t>ÖSTRA GÖINGE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46182</v>
      </c>
      <c r="E377" s="1" t="n">
        <v>46255</v>
      </c>
      <c r="F377" t="inlineStr">
        <is>
          <t>SKÅNE LÄN</t>
        </is>
      </c>
      <c r="G377" t="inlineStr">
        <is>
          <t>ÖSTRA GÖINGE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46255</v>
      </c>
      <c r="F378" t="inlineStr">
        <is>
          <t>SKÅNE LÄN</t>
        </is>
      </c>
      <c r="G378" t="inlineStr">
        <is>
          <t>ÖSTRA GÖINGE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44873</v>
      </c>
      <c r="E379" s="1" t="n">
        <v>46255</v>
      </c>
      <c r="F379" t="inlineStr">
        <is>
          <t>SKÅNE LÄN</t>
        </is>
      </c>
      <c r="G379" t="inlineStr">
        <is>
          <t>ÖSTRA GÖINGE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45147</v>
      </c>
      <c r="E380" s="1" t="n">
        <v>46255</v>
      </c>
      <c r="F380" t="inlineStr">
        <is>
          <t>SKÅNE LÄN</t>
        </is>
      </c>
      <c r="G380" t="inlineStr">
        <is>
          <t>ÖSTRA GÖINGE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46255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46255</v>
      </c>
      <c r="F382" t="inlineStr">
        <is>
          <t>SKÅNE LÄN</t>
        </is>
      </c>
      <c r="G382" t="inlineStr">
        <is>
          <t>ÖSTRA GÖINGE</t>
        </is>
      </c>
      <c r="I382" t="n">
        <v>34.5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45180</v>
      </c>
      <c r="E383" s="1" t="n">
        <v>46255</v>
      </c>
      <c r="F383" t="inlineStr">
        <is>
          <t>SKÅNE LÄN</t>
        </is>
      </c>
      <c r="G383" t="inlineStr">
        <is>
          <t>ÖSTRA GÖINGE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45758</v>
      </c>
      <c r="E384" s="1" t="n">
        <v>46255</v>
      </c>
      <c r="F384" t="inlineStr">
        <is>
          <t>SKÅNE LÄN</t>
        </is>
      </c>
      <c r="G384" t="inlineStr">
        <is>
          <t>ÖSTRA GÖINGE</t>
        </is>
      </c>
      <c r="H384" t="inlineStr">
        <is>
          <t>Sveaskog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45758</v>
      </c>
      <c r="E385" s="1" t="n">
        <v>46255</v>
      </c>
      <c r="F385" t="inlineStr">
        <is>
          <t>SKÅNE LÄN</t>
        </is>
      </c>
      <c r="G385" t="inlineStr">
        <is>
          <t>ÖSTRA GÖINGE</t>
        </is>
      </c>
      <c r="H385" t="inlineStr">
        <is>
          <t>Sveaskog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46255</v>
      </c>
      <c r="F386" t="inlineStr">
        <is>
          <t>SKÅNE LÄN</t>
        </is>
      </c>
      <c r="G386" t="inlineStr">
        <is>
          <t>ÖSTRA GÖINGE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45320</v>
      </c>
      <c r="E387" s="1" t="n">
        <v>46255</v>
      </c>
      <c r="F387" t="inlineStr">
        <is>
          <t>SKÅNE LÄN</t>
        </is>
      </c>
      <c r="G387" t="inlineStr">
        <is>
          <t>ÖSTRA GÖINGE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46255</v>
      </c>
      <c r="F388" t="inlineStr">
        <is>
          <t>SKÅNE LÄN</t>
        </is>
      </c>
      <c r="G388" t="inlineStr">
        <is>
          <t>ÖSTRA GÖINGE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45727</v>
      </c>
      <c r="E389" s="1" t="n">
        <v>46255</v>
      </c>
      <c r="F389" t="inlineStr">
        <is>
          <t>SKÅNE LÄN</t>
        </is>
      </c>
      <c r="G389" t="inlineStr">
        <is>
          <t>ÖSTRA GÖINGE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46255</v>
      </c>
      <c r="F390" t="inlineStr">
        <is>
          <t>SKÅNE LÄN</t>
        </is>
      </c>
      <c r="G390" t="inlineStr">
        <is>
          <t>ÖSTRA GÖINGE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45146</v>
      </c>
      <c r="E391" s="1" t="n">
        <v>46255</v>
      </c>
      <c r="F391" t="inlineStr">
        <is>
          <t>SKÅNE LÄN</t>
        </is>
      </c>
      <c r="G391" t="inlineStr">
        <is>
          <t>ÖSTRA GÖINGE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16441-2023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46255</v>
      </c>
      <c r="F392" t="inlineStr">
        <is>
          <t>SKÅNE LÄN</t>
        </is>
      </c>
      <c r="G392" t="inlineStr">
        <is>
          <t>ÖSTRA GÖINGE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44466</v>
      </c>
      <c r="E393" s="1" t="n">
        <v>46255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46255</v>
      </c>
      <c r="F394" t="inlineStr">
        <is>
          <t>SKÅNE LÄN</t>
        </is>
      </c>
      <c r="G394" t="inlineStr">
        <is>
          <t>ÖSTRA GÖINGE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46255</v>
      </c>
      <c r="F395" t="inlineStr">
        <is>
          <t>SKÅNE LÄN</t>
        </is>
      </c>
      <c r="G395" t="inlineStr">
        <is>
          <t>ÖSTRA GÖINGE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45735</v>
      </c>
      <c r="E396" s="1" t="n">
        <v>46255</v>
      </c>
      <c r="F396" t="inlineStr">
        <is>
          <t>SKÅNE LÄN</t>
        </is>
      </c>
      <c r="G396" t="inlineStr">
        <is>
          <t>ÖSTRA GÖINGE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45405</v>
      </c>
      <c r="E397" s="1" t="n">
        <v>46255</v>
      </c>
      <c r="F397" t="inlineStr">
        <is>
          <t>SKÅNE LÄN</t>
        </is>
      </c>
      <c r="G397" t="inlineStr">
        <is>
          <t>ÖSTRA GÖINGE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46255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46255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46255</v>
      </c>
      <c r="F400" t="inlineStr">
        <is>
          <t>SKÅNE LÄN</t>
        </is>
      </c>
      <c r="G400" t="inlineStr">
        <is>
          <t>ÖSTRA GÖINGE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15688-2023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45021</v>
      </c>
      <c r="E401" s="1" t="n">
        <v>46255</v>
      </c>
      <c r="F401" t="inlineStr">
        <is>
          <t>SKÅNE LÄN</t>
        </is>
      </c>
      <c r="G401" t="inlineStr">
        <is>
          <t>ÖSTRA GÖINGE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46255</v>
      </c>
      <c r="F402" t="inlineStr">
        <is>
          <t>SKÅNE LÄN</t>
        </is>
      </c>
      <c r="G402" t="inlineStr">
        <is>
          <t>ÖSTRA GÖINGE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46255</v>
      </c>
      <c r="F403" t="inlineStr">
        <is>
          <t>SKÅNE LÄN</t>
        </is>
      </c>
      <c r="G403" t="inlineStr">
        <is>
          <t>ÖSTRA GÖINGE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46255</v>
      </c>
      <c r="F404" t="inlineStr">
        <is>
          <t>SKÅNE LÄN</t>
        </is>
      </c>
      <c r="G404" t="inlineStr">
        <is>
          <t>ÖSTRA GÖINGE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46255</v>
      </c>
      <c r="F405" t="inlineStr">
        <is>
          <t>SKÅNE LÄN</t>
        </is>
      </c>
      <c r="G405" t="inlineStr">
        <is>
          <t>ÖSTRA GÖINGE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45765</v>
      </c>
      <c r="E406" s="1" t="n">
        <v>46255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46255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45331</v>
      </c>
      <c r="E408" s="1" t="n">
        <v>46255</v>
      </c>
      <c r="F408" t="inlineStr">
        <is>
          <t>SKÅNE LÄN</t>
        </is>
      </c>
      <c r="G408" t="inlineStr">
        <is>
          <t>ÖSTRA GÖINGE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27322-2022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46255</v>
      </c>
      <c r="F409" t="inlineStr">
        <is>
          <t>SKÅNE LÄN</t>
        </is>
      </c>
      <c r="G409" t="inlineStr">
        <is>
          <t>ÖSTRA GÖINGE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45321</v>
      </c>
      <c r="E410" s="1" t="n">
        <v>46255</v>
      </c>
      <c r="F410" t="inlineStr">
        <is>
          <t>SKÅNE LÄN</t>
        </is>
      </c>
      <c r="G410" t="inlineStr">
        <is>
          <t>ÖSTRA GÖINGE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46241</v>
      </c>
      <c r="E411" s="1" t="n">
        <v>46255</v>
      </c>
      <c r="F411" t="inlineStr">
        <is>
          <t>SKÅNE LÄN</t>
        </is>
      </c>
      <c r="G411" t="inlineStr">
        <is>
          <t>ÖSTRA GÖINGE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46255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46255</v>
      </c>
      <c r="F413" t="inlineStr">
        <is>
          <t>SKÅNE LÄN</t>
        </is>
      </c>
      <c r="G413" t="inlineStr">
        <is>
          <t>ÖSTRA GÖINGE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58279-2024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45632</v>
      </c>
      <c r="E414" s="1" t="n">
        <v>46255</v>
      </c>
      <c r="F414" t="inlineStr">
        <is>
          <t>SKÅNE LÄN</t>
        </is>
      </c>
      <c r="G414" t="inlineStr">
        <is>
          <t>ÖSTRA GÖINGE</t>
        </is>
      </c>
      <c r="I414" t="n">
        <v>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31114-2026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46255</v>
      </c>
      <c r="F415" t="inlineStr">
        <is>
          <t>SKÅNE LÄN</t>
        </is>
      </c>
      <c r="G415" t="inlineStr">
        <is>
          <t>ÖSTRA GÖINGE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33552-2026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46248</v>
      </c>
      <c r="E416" s="1" t="n">
        <v>46255</v>
      </c>
      <c r="F416" t="inlineStr">
        <is>
          <t>SKÅNE LÄN</t>
        </is>
      </c>
      <c r="G416" t="inlineStr">
        <is>
          <t>ÖSTRA GÖINGE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45443</v>
      </c>
      <c r="E417" s="1" t="n">
        <v>46255</v>
      </c>
      <c r="F417" t="inlineStr">
        <is>
          <t>SKÅNE LÄN</t>
        </is>
      </c>
      <c r="G417" t="inlineStr">
        <is>
          <t>ÖSTRA GÖINGE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45307</v>
      </c>
      <c r="E418" s="1" t="n">
        <v>46255</v>
      </c>
      <c r="F418" t="inlineStr">
        <is>
          <t>SKÅNE LÄN</t>
        </is>
      </c>
      <c r="G418" t="inlineStr">
        <is>
          <t>ÖSTRA GÖINGE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46255</v>
      </c>
      <c r="F419" t="inlineStr">
        <is>
          <t>SKÅNE LÄN</t>
        </is>
      </c>
      <c r="G419" t="inlineStr">
        <is>
          <t>ÖSTRA GÖINGE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46255</v>
      </c>
      <c r="F420" t="inlineStr">
        <is>
          <t>SKÅNE LÄN</t>
        </is>
      </c>
      <c r="G420" t="inlineStr">
        <is>
          <t>ÖSTRA GÖINGE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29864-2026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46255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46255</v>
      </c>
      <c r="F422" t="inlineStr">
        <is>
          <t>SKÅNE LÄN</t>
        </is>
      </c>
      <c r="G422" t="inlineStr">
        <is>
          <t>ÖSTRA GÖINGE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44930</v>
      </c>
      <c r="E423" s="1" t="n">
        <v>46255</v>
      </c>
      <c r="F423" t="inlineStr">
        <is>
          <t>SKÅNE LÄN</t>
        </is>
      </c>
      <c r="G423" t="inlineStr">
        <is>
          <t>ÖSTRA GÖINGE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46255</v>
      </c>
      <c r="F424" t="inlineStr">
        <is>
          <t>SKÅNE LÄN</t>
        </is>
      </c>
      <c r="G424" t="inlineStr">
        <is>
          <t>ÖSTRA GÖINGE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47591-2023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45203</v>
      </c>
      <c r="E425" s="1" t="n">
        <v>46255</v>
      </c>
      <c r="F425" t="inlineStr">
        <is>
          <t>SKÅNE LÄN</t>
        </is>
      </c>
      <c r="G425" t="inlineStr">
        <is>
          <t>ÖSTRA GÖINGE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59328-2023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45252</v>
      </c>
      <c r="E426" s="1" t="n">
        <v>46255</v>
      </c>
      <c r="F426" t="inlineStr">
        <is>
          <t>SKÅNE LÄN</t>
        </is>
      </c>
      <c r="G426" t="inlineStr">
        <is>
          <t>ÖSTRA GÖINGE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45727</v>
      </c>
      <c r="E427" s="1" t="n">
        <v>46255</v>
      </c>
      <c r="F427" t="inlineStr">
        <is>
          <t>SKÅNE LÄN</t>
        </is>
      </c>
      <c r="G427" t="inlineStr">
        <is>
          <t>ÖSTRA GÖINGE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45562</v>
      </c>
      <c r="E428" s="1" t="n">
        <v>46255</v>
      </c>
      <c r="F428" t="inlineStr">
        <is>
          <t>SKÅNE LÄN</t>
        </is>
      </c>
      <c r="G428" t="inlineStr">
        <is>
          <t>ÖSTRA GÖINGE</t>
        </is>
      </c>
      <c r="H428" t="inlineStr">
        <is>
          <t>Sveaskog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45176</v>
      </c>
      <c r="E429" s="1" t="n">
        <v>46255</v>
      </c>
      <c r="F429" t="inlineStr">
        <is>
          <t>SKÅNE LÄN</t>
        </is>
      </c>
      <c r="G429" t="inlineStr">
        <is>
          <t>ÖSTRA GÖINGE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45635</v>
      </c>
      <c r="E430" s="1" t="n">
        <v>46255</v>
      </c>
      <c r="F430" t="inlineStr">
        <is>
          <t>SKÅNE LÄN</t>
        </is>
      </c>
      <c r="G430" t="inlineStr">
        <is>
          <t>ÖSTRA GÖINGE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30111-2026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46206</v>
      </c>
      <c r="E431" s="1" t="n">
        <v>46255</v>
      </c>
      <c r="F431" t="inlineStr">
        <is>
          <t>SKÅNE LÄN</t>
        </is>
      </c>
      <c r="G431" t="inlineStr">
        <is>
          <t>ÖSTRA GÖINGE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43478-2023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45184</v>
      </c>
      <c r="E432" s="1" t="n">
        <v>46255</v>
      </c>
      <c r="F432" t="inlineStr">
        <is>
          <t>SKÅNE LÄN</t>
        </is>
      </c>
      <c r="G432" t="inlineStr">
        <is>
          <t>ÖSTRA GÖINGE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46255</v>
      </c>
      <c r="F433" t="inlineStr">
        <is>
          <t>SKÅNE LÄN</t>
        </is>
      </c>
      <c r="G433" t="inlineStr">
        <is>
          <t>ÖSTRA GÖINGE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45489</v>
      </c>
      <c r="E434" s="1" t="n">
        <v>46255</v>
      </c>
      <c r="F434" t="inlineStr">
        <is>
          <t>SKÅNE LÄN</t>
        </is>
      </c>
      <c r="G434" t="inlineStr">
        <is>
          <t>ÖSTRA GÖINGE</t>
        </is>
      </c>
      <c r="I434" t="n">
        <v>8.1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46255</v>
      </c>
      <c r="F435" t="inlineStr">
        <is>
          <t>SKÅNE LÄN</t>
        </is>
      </c>
      <c r="G435" t="inlineStr">
        <is>
          <t>ÖSTRA GÖINGE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46255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45022</v>
      </c>
      <c r="E437" s="1" t="n">
        <v>46255</v>
      </c>
      <c r="F437" t="inlineStr">
        <is>
          <t>SKÅNE LÄN</t>
        </is>
      </c>
      <c r="G437" t="inlineStr">
        <is>
          <t>ÖSTRA GÖINGE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45564</v>
      </c>
      <c r="E438" s="1" t="n">
        <v>46255</v>
      </c>
      <c r="F438" t="inlineStr">
        <is>
          <t>SKÅNE LÄN</t>
        </is>
      </c>
      <c r="G438" t="inlineStr">
        <is>
          <t>ÖSTRA GÖINGE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46255</v>
      </c>
      <c r="F439" t="inlineStr">
        <is>
          <t>SKÅNE LÄN</t>
        </is>
      </c>
      <c r="G439" t="inlineStr">
        <is>
          <t>ÖSTRA GÖINGE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45686</v>
      </c>
      <c r="E440" s="1" t="n">
        <v>46255</v>
      </c>
      <c r="F440" t="inlineStr">
        <is>
          <t>SKÅNE LÄN</t>
        </is>
      </c>
      <c r="G440" t="inlineStr">
        <is>
          <t>ÖSTRA GÖINGE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45643</v>
      </c>
      <c r="E441" s="1" t="n">
        <v>46255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45700</v>
      </c>
      <c r="E442" s="1" t="n">
        <v>46255</v>
      </c>
      <c r="F442" t="inlineStr">
        <is>
          <t>SKÅNE LÄN</t>
        </is>
      </c>
      <c r="G442" t="inlineStr">
        <is>
          <t>ÖSTRA GÖINGE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45797</v>
      </c>
      <c r="E443" s="1" t="n">
        <v>46255</v>
      </c>
      <c r="F443" t="inlineStr">
        <is>
          <t>SKÅNE LÄN</t>
        </is>
      </c>
      <c r="G443" t="inlineStr">
        <is>
          <t>ÖSTRA GÖINGE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45544</v>
      </c>
      <c r="E444" s="1" t="n">
        <v>46255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53688-2024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45615</v>
      </c>
      <c r="E445" s="1" t="n">
        <v>46255</v>
      </c>
      <c r="F445" t="inlineStr">
        <is>
          <t>SKÅNE LÄN</t>
        </is>
      </c>
      <c r="G445" t="inlineStr">
        <is>
          <t>ÖSTRA GÖINGE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46255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46255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46255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46255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46255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46255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46255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46255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46255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46255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46255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46255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46255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46255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46255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46255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46255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46255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46255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46255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46255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46255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46255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46255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46255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46255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46255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46255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46255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46255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46255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46255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46255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46255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46255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46255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46255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46255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46255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46255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46255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46255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2026-08-21T01:51:34Z</dcterms:created>
  <dcterms:modified xmlns:dcterms="http://purl.org/dc/terms/" xmlns:xsi="http://www.w3.org/2001/XMLSchema-instance" xsi:type="dcterms:W3CDTF">2026-08-21T01:51:34Z</dcterms:modified>
</cp:coreProperties>
</file>