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46265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46265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46265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46265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46265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46265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46265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46265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46265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46265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46265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46265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46265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46265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46265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46265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46265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46265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46265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46265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46265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46265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46265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46265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46265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46265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46265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46265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46265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46265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35526-2025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45856</v>
      </c>
      <c r="E42" s="1" t="n">
        <v>46265</v>
      </c>
      <c r="F42" t="inlineStr">
        <is>
          <t>SKÅNE LÄN</t>
        </is>
      </c>
      <c r="G42" t="inlineStr">
        <is>
          <t>ÖSTRA GÖINGE</t>
        </is>
      </c>
      <c r="I42" t="n">
        <v>4.2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HYPERLINK("https://klasma.github.io/Logging_1256/artfynd/A 35526-2025 artfynd.xlsx", "A 35526-2025")</f>
        <v/>
      </c>
      <c r="X42">
        <f>HYPERLINK("https://klasma.github.io/Logging_1256/kartor/A 35526-2025 karta.png", "A 35526-2025")</f>
        <v/>
      </c>
      <c r="Y42">
        <f>HYPERLINK("https://klasma.github.io/Logging_1256/kartor_geotiff/A 35526-2025 georefererad karta.tif", "A 35526-2025")</f>
        <v/>
      </c>
      <c r="AA42">
        <f>HYPERLINK("https://klasma.github.io/Logging_1256/klagomål/A 35526-2025 FSC-klagomål.docx", "A 35526-2025")</f>
        <v/>
      </c>
      <c r="AB42">
        <f>HYPERLINK("https://klasma.github.io/Logging_1256/klagomålsmail/A 35526-2025 FSC-klagomål mail.docx", "A 35526-2025")</f>
        <v/>
      </c>
      <c r="AC42">
        <f>HYPERLINK("https://klasma.github.io/Logging_1256/tillsyn/A 35526-2025 tillsynsbegäran.docx", "A 35526-2025")</f>
        <v/>
      </c>
      <c r="AD42">
        <f>HYPERLINK("https://klasma.github.io/Logging_1256/tillsynsmail/A 35526-2025 tillsynsbegäran mail.docx", "A 35526-2025")</f>
        <v/>
      </c>
    </row>
    <row r="43" ht="15" customHeight="1">
      <c r="A43" t="inlineStr">
        <is>
          <t>A 59369-2024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46265</v>
      </c>
      <c r="F43" t="inlineStr">
        <is>
          <t>SKÅNE LÄN</t>
        </is>
      </c>
      <c r="G43" t="inlineStr">
        <is>
          <t>ÖSTRA GÖINGE</t>
        </is>
      </c>
      <c r="I43" t="n">
        <v>3.2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HYPERLINK("https://klasma.github.io/Logging_1256/artfynd/A 59369-2024 artfynd.xlsx", "A 59369-2024")</f>
        <v/>
      </c>
      <c r="X43">
        <f>HYPERLINK("https://klasma.github.io/Logging_1256/kartor/A 59369-2024 karta.png", "A 59369-2024")</f>
        <v/>
      </c>
      <c r="Y43">
        <f>HYPERLINK("https://klasma.github.io/Logging_1256/kartor_geotiff/A 59369-2024 georefererad karta.tif", "A 59369-2024")</f>
        <v/>
      </c>
      <c r="AA43">
        <f>HYPERLINK("https://klasma.github.io/Logging_1256/klagomål/A 59369-2024 FSC-klagomål.docx", "A 59369-2024")</f>
        <v/>
      </c>
      <c r="AB43">
        <f>HYPERLINK("https://klasma.github.io/Logging_1256/klagomålsmail/A 59369-2024 FSC-klagomål mail.docx", "A 59369-2024")</f>
        <v/>
      </c>
      <c r="AC43">
        <f>HYPERLINK("https://klasma.github.io/Logging_1256/tillsyn/A 59369-2024 tillsynsbegäran.docx", "A 59369-2024")</f>
        <v/>
      </c>
      <c r="AD43">
        <f>HYPERLINK("https://klasma.github.io/Logging_1256/tillsynsmail/A 59369-2024 tillsynsbegäran mail.docx", "A 59369-2024")</f>
        <v/>
      </c>
    </row>
    <row r="44" ht="15" customHeight="1">
      <c r="A44" t="inlineStr">
        <is>
          <t>A 45359-2023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46265</v>
      </c>
      <c r="F44" t="inlineStr">
        <is>
          <t>SKÅNE LÄN</t>
        </is>
      </c>
      <c r="G44" t="inlineStr">
        <is>
          <t>ÖSTRA GÖINGE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HYPERLINK("https://klasma.github.io/Logging_1256/artfynd/A 45359-2023 artfynd.xlsx", "A 45359-2023")</f>
        <v/>
      </c>
      <c r="X44">
        <f>HYPERLINK("https://klasma.github.io/Logging_1256/kartor/A 45359-2023 karta.png", "A 45359-2023")</f>
        <v/>
      </c>
      <c r="Y44">
        <f>HYPERLINK("https://klasma.github.io/Logging_1256/kartor_geotiff/A 45359-2023 georefererad karta.tif", "A 45359-2023")</f>
        <v/>
      </c>
      <c r="AA44">
        <f>HYPERLINK("https://klasma.github.io/Logging_1256/klagomål/A 45359-2023 FSC-klagomål.docx", "A 45359-2023")</f>
        <v/>
      </c>
      <c r="AB44">
        <f>HYPERLINK("https://klasma.github.io/Logging_1256/klagomålsmail/A 45359-2023 FSC-klagomål mail.docx", "A 45359-2023")</f>
        <v/>
      </c>
      <c r="AC44">
        <f>HYPERLINK("https://klasma.github.io/Logging_1256/tillsyn/A 45359-2023 tillsynsbegäran.docx", "A 45359-2023")</f>
        <v/>
      </c>
      <c r="AD44">
        <f>HYPERLINK("https://klasma.github.io/Logging_1256/tillsynsmail/A 45359-2023 tillsynsbegäran mail.docx", "A 45359-2023")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46265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46265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46265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46265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46265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46265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4383-2024 artfynd.xlsx", "A 4383-2024")</f>
        <v/>
      </c>
      <c r="X50">
        <f>HYPERLINK("https://klasma.github.io/Logging_1256/kartor/A 4383-2024 karta.png", "A 4383-2024")</f>
        <v/>
      </c>
      <c r="Y50">
        <f>HYPERLINK("https://klasma.github.io/Logging_1256/kartor_geotiff/A 4383-2024 georefererad karta.tif", "A 4383-2024")</f>
        <v/>
      </c>
      <c r="AA50">
        <f>HYPERLINK("https://klasma.github.io/Logging_1256/klagomål/A 4383-2024 FSC-klagomål.docx", "A 4383-2024")</f>
        <v/>
      </c>
      <c r="AB50">
        <f>HYPERLINK("https://klasma.github.io/Logging_1256/klagomålsmail/A 4383-2024 FSC-klagomål mail.docx", "A 4383-2024")</f>
        <v/>
      </c>
      <c r="AC50">
        <f>HYPERLINK("https://klasma.github.io/Logging_1256/tillsyn/A 4383-2024 tillsynsbegäran.docx", "A 4383-2024")</f>
        <v/>
      </c>
      <c r="AD50">
        <f>HYPERLINK("https://klasma.github.io/Logging_1256/tillsynsmail/A 4383-2024 tillsynsbegäran mail.docx", "A 4383-2024")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46265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46265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46265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46265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46265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46265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46265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46265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46265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46265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46265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46265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46265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46265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46265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46265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46265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46265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46265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46265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46265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46265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46265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46265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46265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46265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46265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46265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46265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46265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46265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46265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46265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46265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46265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46265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46265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46265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46265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46265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46265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46265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46265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46265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46265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46265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46265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46265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46265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46265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46265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46265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46265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46265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46265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46265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46265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46265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44764-2021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46265</v>
      </c>
      <c r="F111" t="inlineStr">
        <is>
          <t>SKÅNE LÄN</t>
        </is>
      </c>
      <c r="G111" t="inlineStr">
        <is>
          <t>ÖSTRA GÖINGE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46265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46265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46265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46265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46265</v>
      </c>
      <c r="F116" t="inlineStr">
        <is>
          <t>SKÅNE LÄN</t>
        </is>
      </c>
      <c r="G116" t="inlineStr">
        <is>
          <t>ÖSTRA GÖINGE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45966</v>
      </c>
      <c r="E117" s="1" t="n">
        <v>46265</v>
      </c>
      <c r="F117" t="inlineStr">
        <is>
          <t>SKÅNE LÄN</t>
        </is>
      </c>
      <c r="G117" t="inlineStr">
        <is>
          <t>ÖSTRA GÖINGE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46265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46265</v>
      </c>
      <c r="F119" t="inlineStr">
        <is>
          <t>SKÅNE LÄN</t>
        </is>
      </c>
      <c r="G119" t="inlineStr">
        <is>
          <t>ÖSTRA GÖINGE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45564</v>
      </c>
      <c r="E120" s="1" t="n">
        <v>46265</v>
      </c>
      <c r="F120" t="inlineStr">
        <is>
          <t>SKÅNE LÄN</t>
        </is>
      </c>
      <c r="G120" t="inlineStr">
        <is>
          <t>ÖSTRA GÖINGE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46265</v>
      </c>
      <c r="F121" t="inlineStr">
        <is>
          <t>SKÅNE LÄN</t>
        </is>
      </c>
      <c r="G121" t="inlineStr">
        <is>
          <t>ÖSTRA GÖINGE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46265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46265</v>
      </c>
      <c r="F123" t="inlineStr">
        <is>
          <t>SKÅNE LÄN</t>
        </is>
      </c>
      <c r="G123" t="inlineStr">
        <is>
          <t>ÖSTRA GÖINGE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46265</v>
      </c>
      <c r="F124" t="inlineStr">
        <is>
          <t>SKÅNE LÄN</t>
        </is>
      </c>
      <c r="G124" t="inlineStr">
        <is>
          <t>ÖSTRA GÖINGE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46265</v>
      </c>
      <c r="F125" t="inlineStr">
        <is>
          <t>SKÅNE LÄN</t>
        </is>
      </c>
      <c r="G125" t="inlineStr">
        <is>
          <t>ÖSTRA GÖINGE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46265</v>
      </c>
      <c r="F126" t="inlineStr">
        <is>
          <t>SKÅNE LÄN</t>
        </is>
      </c>
      <c r="G126" t="inlineStr">
        <is>
          <t>ÖSTRA GÖINGE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46265</v>
      </c>
      <c r="F127" t="inlineStr">
        <is>
          <t>SKÅNE LÄN</t>
        </is>
      </c>
      <c r="G127" t="inlineStr">
        <is>
          <t>ÖSTRA GÖINGE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46265</v>
      </c>
      <c r="F128" t="inlineStr">
        <is>
          <t>SKÅNE LÄN</t>
        </is>
      </c>
      <c r="G128" t="inlineStr">
        <is>
          <t>ÖSTRA GÖINGE</t>
        </is>
      </c>
      <c r="H128" t="inlineStr">
        <is>
          <t>Kyrkan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45896</v>
      </c>
      <c r="E129" s="1" t="n">
        <v>46265</v>
      </c>
      <c r="F129" t="inlineStr">
        <is>
          <t>SKÅNE LÄN</t>
        </is>
      </c>
      <c r="G129" t="inlineStr">
        <is>
          <t>ÖSTRA GÖINGE</t>
        </is>
      </c>
      <c r="H129" t="inlineStr">
        <is>
          <t>Kyrkan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45970</v>
      </c>
      <c r="E130" s="1" t="n">
        <v>46265</v>
      </c>
      <c r="F130" t="inlineStr">
        <is>
          <t>SKÅNE LÄN</t>
        </is>
      </c>
      <c r="G130" t="inlineStr">
        <is>
          <t>ÖSTRA GÖINGE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46265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45686</v>
      </c>
      <c r="E132" s="1" t="n">
        <v>46265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46265</v>
      </c>
      <c r="F133" t="inlineStr">
        <is>
          <t>SKÅNE LÄN</t>
        </is>
      </c>
      <c r="G133" t="inlineStr">
        <is>
          <t>ÖSTRA GÖINGE</t>
        </is>
      </c>
      <c r="H133" t="inlineStr">
        <is>
          <t>Sveaskog</t>
        </is>
      </c>
      <c r="I133" t="n">
        <v>11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46265</v>
      </c>
      <c r="F134" t="inlineStr">
        <is>
          <t>SKÅNE LÄN</t>
        </is>
      </c>
      <c r="G134" t="inlineStr">
        <is>
          <t>ÖSTRA GÖINGE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46265</v>
      </c>
      <c r="F135" t="inlineStr">
        <is>
          <t>SKÅNE LÄN</t>
        </is>
      </c>
      <c r="G135" t="inlineStr">
        <is>
          <t>ÖSTRA GÖINGE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60504-2024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46265</v>
      </c>
      <c r="F136" t="inlineStr">
        <is>
          <t>SKÅNE LÄN</t>
        </is>
      </c>
      <c r="G136" t="inlineStr">
        <is>
          <t>ÖSTRA GÖINGE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45972</v>
      </c>
      <c r="E137" s="1" t="n">
        <v>46265</v>
      </c>
      <c r="F137" t="inlineStr">
        <is>
          <t>SKÅNE LÄN</t>
        </is>
      </c>
      <c r="G137" t="inlineStr">
        <is>
          <t>ÖSTRA GÖINGE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46265</v>
      </c>
      <c r="F138" t="inlineStr">
        <is>
          <t>SKÅNE LÄN</t>
        </is>
      </c>
      <c r="G138" t="inlineStr">
        <is>
          <t>ÖSTRA GÖINGE</t>
        </is>
      </c>
      <c r="H138" t="inlineStr">
        <is>
          <t>Sveaskog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44531</v>
      </c>
      <c r="E139" s="1" t="n">
        <v>46265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69390-2021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44531</v>
      </c>
      <c r="E140" s="1" t="n">
        <v>46265</v>
      </c>
      <c r="F140" t="inlineStr">
        <is>
          <t>SKÅNE LÄN</t>
        </is>
      </c>
      <c r="G140" t="inlineStr">
        <is>
          <t>ÖSTRA GÖINGE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46265</v>
      </c>
      <c r="F141" t="inlineStr">
        <is>
          <t>SKÅNE LÄN</t>
        </is>
      </c>
      <c r="G141" t="inlineStr">
        <is>
          <t>ÖSTRA GÖINGE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46265</v>
      </c>
      <c r="F142" t="inlineStr">
        <is>
          <t>SKÅNE LÄN</t>
        </is>
      </c>
      <c r="G142" t="inlineStr">
        <is>
          <t>ÖSTRA GÖINGE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46265</v>
      </c>
      <c r="F143" t="inlineStr">
        <is>
          <t>SKÅNE LÄN</t>
        </is>
      </c>
      <c r="G143" t="inlineStr">
        <is>
          <t>ÖSTRA GÖINGE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46265</v>
      </c>
      <c r="F144" t="inlineStr">
        <is>
          <t>SKÅNE LÄN</t>
        </is>
      </c>
      <c r="G144" t="inlineStr">
        <is>
          <t>ÖSTRA GÖINGE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46265</v>
      </c>
      <c r="F145" t="inlineStr">
        <is>
          <t>SKÅNE LÄN</t>
        </is>
      </c>
      <c r="G145" t="inlineStr">
        <is>
          <t>ÖSTRA GÖINGE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46265</v>
      </c>
      <c r="F146" t="inlineStr">
        <is>
          <t>SKÅNE LÄN</t>
        </is>
      </c>
      <c r="G146" t="inlineStr">
        <is>
          <t>ÖSTRA GÖINGE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46265</v>
      </c>
      <c r="F147" t="inlineStr">
        <is>
          <t>SKÅNE LÄN</t>
        </is>
      </c>
      <c r="G147" t="inlineStr">
        <is>
          <t>ÖSTRA GÖINGE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46265</v>
      </c>
      <c r="F148" t="inlineStr">
        <is>
          <t>SKÅNE LÄN</t>
        </is>
      </c>
      <c r="G148" t="inlineStr">
        <is>
          <t>ÖSTRA GÖINGE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46265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46265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46265</v>
      </c>
      <c r="F151" t="inlineStr">
        <is>
          <t>SKÅNE LÄN</t>
        </is>
      </c>
      <c r="G151" t="inlineStr">
        <is>
          <t>ÖSTRA GÖINGE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46265</v>
      </c>
      <c r="F152" t="inlineStr">
        <is>
          <t>SKÅNE LÄN</t>
        </is>
      </c>
      <c r="G152" t="inlineStr">
        <is>
          <t>ÖSTRA GÖINGE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44531</v>
      </c>
      <c r="E153" s="1" t="n">
        <v>46265</v>
      </c>
      <c r="F153" t="inlineStr">
        <is>
          <t>SKÅNE LÄN</t>
        </is>
      </c>
      <c r="G153" t="inlineStr">
        <is>
          <t>ÖSTRA GÖINGE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69393-2021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46265</v>
      </c>
      <c r="F154" t="inlineStr">
        <is>
          <t>SKÅNE LÄN</t>
        </is>
      </c>
      <c r="G154" t="inlineStr">
        <is>
          <t>ÖSTRA GÖINGE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46265</v>
      </c>
      <c r="F155" t="inlineStr">
        <is>
          <t>SKÅNE LÄN</t>
        </is>
      </c>
      <c r="G155" t="inlineStr">
        <is>
          <t>ÖSTRA GÖINGE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46265</v>
      </c>
      <c r="F156" t="inlineStr">
        <is>
          <t>SKÅNE LÄN</t>
        </is>
      </c>
      <c r="G156" t="inlineStr">
        <is>
          <t>ÖSTRA GÖINGE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46265</v>
      </c>
      <c r="F157" t="inlineStr">
        <is>
          <t>SKÅNE LÄN</t>
        </is>
      </c>
      <c r="G157" t="inlineStr">
        <is>
          <t>ÖSTRA GÖINGE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44929</v>
      </c>
      <c r="E158" s="1" t="n">
        <v>46265</v>
      </c>
      <c r="F158" t="inlineStr">
        <is>
          <t>SKÅNE LÄN</t>
        </is>
      </c>
      <c r="G158" t="inlineStr">
        <is>
          <t>ÖSTRA GÖINGE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46265</v>
      </c>
      <c r="F159" t="inlineStr">
        <is>
          <t>SKÅNE LÄN</t>
        </is>
      </c>
      <c r="G159" t="inlineStr">
        <is>
          <t>ÖSTRA GÖINGE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46265</v>
      </c>
      <c r="F160" t="inlineStr">
        <is>
          <t>SKÅNE LÄN</t>
        </is>
      </c>
      <c r="G160" t="inlineStr">
        <is>
          <t>ÖSTRA GÖINGE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46265</v>
      </c>
      <c r="F161" t="inlineStr">
        <is>
          <t>SKÅNE LÄN</t>
        </is>
      </c>
      <c r="G161" t="inlineStr">
        <is>
          <t>ÖSTRA GÖINGE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46265</v>
      </c>
      <c r="F162" t="inlineStr">
        <is>
          <t>SKÅNE LÄN</t>
        </is>
      </c>
      <c r="G162" t="inlineStr">
        <is>
          <t>ÖSTRA GÖINGE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46265</v>
      </c>
      <c r="F163" t="inlineStr">
        <is>
          <t>SKÅNE LÄN</t>
        </is>
      </c>
      <c r="G163" t="inlineStr">
        <is>
          <t>ÖSTRA GÖINGE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45935</v>
      </c>
      <c r="E164" s="1" t="n">
        <v>46265</v>
      </c>
      <c r="F164" t="inlineStr">
        <is>
          <t>SKÅNE LÄN</t>
        </is>
      </c>
      <c r="G164" t="inlineStr">
        <is>
          <t>ÖSTRA GÖINGE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46265</v>
      </c>
      <c r="F165" t="inlineStr">
        <is>
          <t>SKÅNE LÄN</t>
        </is>
      </c>
      <c r="G165" t="inlineStr">
        <is>
          <t>ÖSTRA GÖINGE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46265</v>
      </c>
      <c r="F166" t="inlineStr">
        <is>
          <t>SKÅNE LÄN</t>
        </is>
      </c>
      <c r="G166" t="inlineStr">
        <is>
          <t>ÖSTRA GÖINGE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46265</v>
      </c>
      <c r="F167" t="inlineStr">
        <is>
          <t>SKÅNE LÄN</t>
        </is>
      </c>
      <c r="G167" t="inlineStr">
        <is>
          <t>ÖSTRA GÖINGE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44910</v>
      </c>
      <c r="E168" s="1" t="n">
        <v>46265</v>
      </c>
      <c r="F168" t="inlineStr">
        <is>
          <t>SKÅNE LÄN</t>
        </is>
      </c>
      <c r="G168" t="inlineStr">
        <is>
          <t>ÖSTRA GÖINGE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46265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46265</v>
      </c>
      <c r="F170" t="inlineStr">
        <is>
          <t>SKÅNE LÄN</t>
        </is>
      </c>
      <c r="G170" t="inlineStr">
        <is>
          <t>ÖSTRA GÖINGE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46265</v>
      </c>
      <c r="F171" t="inlineStr">
        <is>
          <t>SKÅNE LÄN</t>
        </is>
      </c>
      <c r="G171" t="inlineStr">
        <is>
          <t>ÖSTRA GÖINGE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46265</v>
      </c>
      <c r="F172" t="inlineStr">
        <is>
          <t>SKÅNE LÄN</t>
        </is>
      </c>
      <c r="G172" t="inlineStr">
        <is>
          <t>ÖSTRA GÖINGE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16509-2024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46265</v>
      </c>
      <c r="F173" t="inlineStr">
        <is>
          <t>SKÅNE LÄN</t>
        </is>
      </c>
      <c r="G173" t="inlineStr">
        <is>
          <t>ÖSTRA GÖINGE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46265</v>
      </c>
      <c r="F174" t="inlineStr">
        <is>
          <t>SKÅNE LÄN</t>
        </is>
      </c>
      <c r="G174" t="inlineStr">
        <is>
          <t>ÖSTRA GÖINGE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46265</v>
      </c>
      <c r="F175" t="inlineStr">
        <is>
          <t>SKÅNE LÄN</t>
        </is>
      </c>
      <c r="G175" t="inlineStr">
        <is>
          <t>ÖSTRA GÖINGE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44949</v>
      </c>
      <c r="E176" s="1" t="n">
        <v>46265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45082</v>
      </c>
      <c r="E177" s="1" t="n">
        <v>46265</v>
      </c>
      <c r="F177" t="inlineStr">
        <is>
          <t>SKÅNE LÄN</t>
        </is>
      </c>
      <c r="G177" t="inlineStr">
        <is>
          <t>ÖSTRA GÖINGE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46265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46265</v>
      </c>
      <c r="F179" t="inlineStr">
        <is>
          <t>SKÅNE LÄN</t>
        </is>
      </c>
      <c r="G179" t="inlineStr">
        <is>
          <t>ÖSTRA GÖINGE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46265</v>
      </c>
      <c r="F180" t="inlineStr">
        <is>
          <t>SKÅNE LÄN</t>
        </is>
      </c>
      <c r="G180" t="inlineStr">
        <is>
          <t>ÖSTRA GÖINGE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46265</v>
      </c>
      <c r="F181" t="inlineStr">
        <is>
          <t>SKÅNE LÄN</t>
        </is>
      </c>
      <c r="G181" t="inlineStr">
        <is>
          <t>ÖSTRA GÖINGE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46265</v>
      </c>
      <c r="F182" t="inlineStr">
        <is>
          <t>SKÅNE LÄN</t>
        </is>
      </c>
      <c r="G182" t="inlineStr">
        <is>
          <t>ÖSTRA GÖINGE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46265</v>
      </c>
      <c r="F183" t="inlineStr">
        <is>
          <t>SKÅNE LÄN</t>
        </is>
      </c>
      <c r="G183" t="inlineStr">
        <is>
          <t>ÖSTRA GÖINGE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46265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46265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46265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46265</v>
      </c>
      <c r="F187" t="inlineStr">
        <is>
          <t>SKÅNE LÄN</t>
        </is>
      </c>
      <c r="G187" t="inlineStr">
        <is>
          <t>ÖSTRA GÖINGE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46265</v>
      </c>
      <c r="F188" t="inlineStr">
        <is>
          <t>SKÅNE LÄN</t>
        </is>
      </c>
      <c r="G188" t="inlineStr">
        <is>
          <t>ÖSTRA GÖINGE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46265</v>
      </c>
      <c r="F189" t="inlineStr">
        <is>
          <t>SKÅNE LÄN</t>
        </is>
      </c>
      <c r="G189" t="inlineStr">
        <is>
          <t>ÖSTRA GÖINGE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46265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46265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34931-2023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45142</v>
      </c>
      <c r="E192" s="1" t="n">
        <v>46265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46265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45848</v>
      </c>
      <c r="E194" s="1" t="n">
        <v>46265</v>
      </c>
      <c r="F194" t="inlineStr">
        <is>
          <t>SKÅNE LÄN</t>
        </is>
      </c>
      <c r="G194" t="inlineStr">
        <is>
          <t>ÖSTRA GÖINGE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46265</v>
      </c>
      <c r="F195" t="inlineStr">
        <is>
          <t>SKÅNE LÄN</t>
        </is>
      </c>
      <c r="G195" t="inlineStr">
        <is>
          <t>ÖSTRA GÖINGE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46265</v>
      </c>
      <c r="F196" t="inlineStr">
        <is>
          <t>SKÅNE LÄN</t>
        </is>
      </c>
      <c r="G196" t="inlineStr">
        <is>
          <t>ÖSTRA GÖINGE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46265</v>
      </c>
      <c r="F197" t="inlineStr">
        <is>
          <t>SKÅNE LÄN</t>
        </is>
      </c>
      <c r="G197" t="inlineStr">
        <is>
          <t>ÖSTRA GÖINGE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46265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46265</v>
      </c>
      <c r="F199" t="inlineStr">
        <is>
          <t>SKÅNE LÄN</t>
        </is>
      </c>
      <c r="G199" t="inlineStr">
        <is>
          <t>ÖSTRA GÖINGE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36324-2022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44803</v>
      </c>
      <c r="E200" s="1" t="n">
        <v>46265</v>
      </c>
      <c r="F200" t="inlineStr">
        <is>
          <t>SKÅNE LÄN</t>
        </is>
      </c>
      <c r="G200" t="inlineStr">
        <is>
          <t>ÖSTRA GÖINGE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46265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46265</v>
      </c>
      <c r="F202" t="inlineStr">
        <is>
          <t>SKÅNE LÄN</t>
        </is>
      </c>
      <c r="G202" t="inlineStr">
        <is>
          <t>ÖSTRA GÖINGE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45256</v>
      </c>
      <c r="E203" s="1" t="n">
        <v>46265</v>
      </c>
      <c r="F203" t="inlineStr">
        <is>
          <t>SKÅNE LÄN</t>
        </is>
      </c>
      <c r="G203" t="inlineStr">
        <is>
          <t>ÖSTRA GÖINGE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46265</v>
      </c>
      <c r="F204" t="inlineStr">
        <is>
          <t>SKÅNE LÄN</t>
        </is>
      </c>
      <c r="G204" t="inlineStr">
        <is>
          <t>ÖSTRA GÖINGE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35547-2023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45146</v>
      </c>
      <c r="E205" s="1" t="n">
        <v>46265</v>
      </c>
      <c r="F205" t="inlineStr">
        <is>
          <t>SKÅNE LÄN</t>
        </is>
      </c>
      <c r="G205" t="inlineStr">
        <is>
          <t>ÖSTRA GÖINGE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46265</v>
      </c>
      <c r="F206" t="inlineStr">
        <is>
          <t>SKÅNE LÄN</t>
        </is>
      </c>
      <c r="G206" t="inlineStr">
        <is>
          <t>ÖSTRA GÖINGE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44896</v>
      </c>
      <c r="E207" s="1" t="n">
        <v>46265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46265</v>
      </c>
      <c r="F208" t="inlineStr">
        <is>
          <t>SKÅNE LÄN</t>
        </is>
      </c>
      <c r="G208" t="inlineStr">
        <is>
          <t>ÖSTRA GÖINGE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46265</v>
      </c>
      <c r="F209" t="inlineStr">
        <is>
          <t>SKÅNE LÄN</t>
        </is>
      </c>
      <c r="G209" t="inlineStr">
        <is>
          <t>ÖSTRA GÖINGE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46265</v>
      </c>
      <c r="F210" t="inlineStr">
        <is>
          <t>SKÅNE LÄN</t>
        </is>
      </c>
      <c r="G210" t="inlineStr">
        <is>
          <t>ÖSTRA GÖINGE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46265</v>
      </c>
      <c r="F211" t="inlineStr">
        <is>
          <t>SKÅNE LÄN</t>
        </is>
      </c>
      <c r="G211" t="inlineStr">
        <is>
          <t>ÖSTRA GÖINGE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46265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46265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46265</v>
      </c>
      <c r="F214" t="inlineStr">
        <is>
          <t>SKÅNE LÄN</t>
        </is>
      </c>
      <c r="G214" t="inlineStr">
        <is>
          <t>ÖSTRA GÖINGE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46265</v>
      </c>
      <c r="F215" t="inlineStr">
        <is>
          <t>SKÅNE LÄN</t>
        </is>
      </c>
      <c r="G215" t="inlineStr">
        <is>
          <t>ÖSTRA GÖINGE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46265</v>
      </c>
      <c r="F216" t="inlineStr">
        <is>
          <t>SKÅNE LÄN</t>
        </is>
      </c>
      <c r="G216" t="inlineStr">
        <is>
          <t>ÖSTRA GÖINGE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46265</v>
      </c>
      <c r="F217" t="inlineStr">
        <is>
          <t>SKÅNE LÄN</t>
        </is>
      </c>
      <c r="G217" t="inlineStr">
        <is>
          <t>ÖSTRA GÖINGE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45022</v>
      </c>
      <c r="E218" s="1" t="n">
        <v>46265</v>
      </c>
      <c r="F218" t="inlineStr">
        <is>
          <t>SKÅNE LÄN</t>
        </is>
      </c>
      <c r="G218" t="inlineStr">
        <is>
          <t>ÖSTRA GÖINGE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46265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44826</v>
      </c>
      <c r="E220" s="1" t="n">
        <v>46265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46265</v>
      </c>
      <c r="F221" t="inlineStr">
        <is>
          <t>SKÅNE LÄN</t>
        </is>
      </c>
      <c r="G221" t="inlineStr">
        <is>
          <t>ÖSTRA GÖINGE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46265</v>
      </c>
      <c r="F222" t="inlineStr">
        <is>
          <t>SKÅNE LÄN</t>
        </is>
      </c>
      <c r="G222" t="inlineStr">
        <is>
          <t>ÖSTRA GÖINGE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46265</v>
      </c>
      <c r="F223" t="inlineStr">
        <is>
          <t>SKÅNE LÄN</t>
        </is>
      </c>
      <c r="G223" t="inlineStr">
        <is>
          <t>ÖSTRA GÖINGE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45203</v>
      </c>
      <c r="E224" s="1" t="n">
        <v>46265</v>
      </c>
      <c r="F224" t="inlineStr">
        <is>
          <t>SKÅNE LÄN</t>
        </is>
      </c>
      <c r="G224" t="inlineStr">
        <is>
          <t>ÖSTRA GÖINGE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50896-2021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44460</v>
      </c>
      <c r="E225" s="1" t="n">
        <v>46265</v>
      </c>
      <c r="F225" t="inlineStr">
        <is>
          <t>SKÅNE LÄN</t>
        </is>
      </c>
      <c r="G225" t="inlineStr">
        <is>
          <t>ÖSTRA GÖINGE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50927-2021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44459</v>
      </c>
      <c r="E226" s="1" t="n">
        <v>46265</v>
      </c>
      <c r="F226" t="inlineStr">
        <is>
          <t>SKÅNE LÄN</t>
        </is>
      </c>
      <c r="G226" t="inlineStr">
        <is>
          <t>ÖSTRA GÖINGE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46265</v>
      </c>
      <c r="F227" t="inlineStr">
        <is>
          <t>SKÅNE LÄN</t>
        </is>
      </c>
      <c r="G227" t="inlineStr">
        <is>
          <t>ÖSTRA GÖINGE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46265</v>
      </c>
      <c r="F228" t="inlineStr">
        <is>
          <t>SKÅNE LÄN</t>
        </is>
      </c>
      <c r="G228" t="inlineStr">
        <is>
          <t>ÖSTRA GÖINGE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46265</v>
      </c>
      <c r="F229" t="inlineStr">
        <is>
          <t>SKÅNE LÄN</t>
        </is>
      </c>
      <c r="G229" t="inlineStr">
        <is>
          <t>ÖSTRA GÖINGE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46265</v>
      </c>
      <c r="F230" t="inlineStr">
        <is>
          <t>SKÅNE LÄN</t>
        </is>
      </c>
      <c r="G230" t="inlineStr">
        <is>
          <t>ÖSTRA GÖINGE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45268</v>
      </c>
      <c r="E231" s="1" t="n">
        <v>46265</v>
      </c>
      <c r="F231" t="inlineStr">
        <is>
          <t>SKÅNE LÄN</t>
        </is>
      </c>
      <c r="G231" t="inlineStr">
        <is>
          <t>ÖSTRA GÖINGE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44918</v>
      </c>
      <c r="E232" s="1" t="n">
        <v>46265</v>
      </c>
      <c r="F232" t="inlineStr">
        <is>
          <t>SKÅNE LÄN</t>
        </is>
      </c>
      <c r="G232" t="inlineStr">
        <is>
          <t>ÖSTRA GÖINGE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46265</v>
      </c>
      <c r="F233" t="inlineStr">
        <is>
          <t>SKÅNE LÄN</t>
        </is>
      </c>
      <c r="G233" t="inlineStr">
        <is>
          <t>ÖSTRA GÖINGE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46265</v>
      </c>
      <c r="F234" t="inlineStr">
        <is>
          <t>SKÅNE LÄN</t>
        </is>
      </c>
      <c r="G234" t="inlineStr">
        <is>
          <t>ÖSTRA GÖINGE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46265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46265</v>
      </c>
      <c r="F236" t="inlineStr">
        <is>
          <t>SKÅNE LÄN</t>
        </is>
      </c>
      <c r="G236" t="inlineStr">
        <is>
          <t>ÖSTRA GÖINGE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46265</v>
      </c>
      <c r="F237" t="inlineStr">
        <is>
          <t>SKÅNE LÄN</t>
        </is>
      </c>
      <c r="G237" t="inlineStr">
        <is>
          <t>ÖSTRA GÖINGE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46265</v>
      </c>
      <c r="F238" t="inlineStr">
        <is>
          <t>SKÅNE LÄN</t>
        </is>
      </c>
      <c r="G238" t="inlineStr">
        <is>
          <t>ÖSTRA GÖINGE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46265</v>
      </c>
      <c r="F239" t="inlineStr">
        <is>
          <t>SKÅNE LÄN</t>
        </is>
      </c>
      <c r="G239" t="inlineStr">
        <is>
          <t>ÖSTRA GÖINGE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46265</v>
      </c>
      <c r="F240" t="inlineStr">
        <is>
          <t>SKÅNE LÄN</t>
        </is>
      </c>
      <c r="G240" t="inlineStr">
        <is>
          <t>ÖSTRA GÖINGE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46265</v>
      </c>
      <c r="F241" t="inlineStr">
        <is>
          <t>SKÅNE LÄN</t>
        </is>
      </c>
      <c r="G241" t="inlineStr">
        <is>
          <t>ÖSTRA GÖINGE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46265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45069</v>
      </c>
      <c r="E243" s="1" t="n">
        <v>46265</v>
      </c>
      <c r="F243" t="inlineStr">
        <is>
          <t>SKÅNE LÄN</t>
        </is>
      </c>
      <c r="G243" t="inlineStr">
        <is>
          <t>ÖSTRA GÖINGE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46265</v>
      </c>
      <c r="F244" t="inlineStr">
        <is>
          <t>SKÅNE LÄN</t>
        </is>
      </c>
      <c r="G244" t="inlineStr">
        <is>
          <t>ÖSTRA GÖINGE</t>
        </is>
      </c>
      <c r="I244" t="n">
        <v>12.8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46265</v>
      </c>
      <c r="F245" t="inlineStr">
        <is>
          <t>SKÅNE LÄN</t>
        </is>
      </c>
      <c r="G245" t="inlineStr">
        <is>
          <t>ÖSTRA GÖINGE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46265</v>
      </c>
      <c r="F246" t="inlineStr">
        <is>
          <t>SKÅNE LÄN</t>
        </is>
      </c>
      <c r="G246" t="inlineStr">
        <is>
          <t>ÖSTRA GÖINGE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46265</v>
      </c>
      <c r="F247" t="inlineStr">
        <is>
          <t>SKÅNE LÄN</t>
        </is>
      </c>
      <c r="G247" t="inlineStr">
        <is>
          <t>ÖSTRA GÖINGE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46265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46265</v>
      </c>
      <c r="F249" t="inlineStr">
        <is>
          <t>SKÅNE LÄN</t>
        </is>
      </c>
      <c r="G249" t="inlineStr">
        <is>
          <t>ÖSTRA GÖINGE</t>
        </is>
      </c>
      <c r="I249" t="n">
        <v>10.4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46265</v>
      </c>
      <c r="F250" t="inlineStr">
        <is>
          <t>SKÅNE LÄN</t>
        </is>
      </c>
      <c r="G250" t="inlineStr">
        <is>
          <t>ÖSTRA GÖINGE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50922-2021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44459</v>
      </c>
      <c r="E251" s="1" t="n">
        <v>46265</v>
      </c>
      <c r="F251" t="inlineStr">
        <is>
          <t>SKÅNE LÄN</t>
        </is>
      </c>
      <c r="G251" t="inlineStr">
        <is>
          <t>ÖSTRA GÖINGE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46265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69384-2021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46265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46265</v>
      </c>
      <c r="F254" t="inlineStr">
        <is>
          <t>SKÅNE LÄN</t>
        </is>
      </c>
      <c r="G254" t="inlineStr">
        <is>
          <t>ÖSTRA GÖINGE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46265</v>
      </c>
      <c r="F255" t="inlineStr">
        <is>
          <t>SKÅNE LÄN</t>
        </is>
      </c>
      <c r="G255" t="inlineStr">
        <is>
          <t>ÖSTRA GÖINGE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46265</v>
      </c>
      <c r="F256" t="inlineStr">
        <is>
          <t>SKÅNE LÄN</t>
        </is>
      </c>
      <c r="G256" t="inlineStr">
        <is>
          <t>ÖSTRA GÖINGE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7057-2026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46057</v>
      </c>
      <c r="E257" s="1" t="n">
        <v>46265</v>
      </c>
      <c r="F257" t="inlineStr">
        <is>
          <t>SKÅNE LÄN</t>
        </is>
      </c>
      <c r="G257" t="inlineStr">
        <is>
          <t>ÖSTRA GÖINGE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46265</v>
      </c>
      <c r="F258" t="inlineStr">
        <is>
          <t>SKÅNE LÄN</t>
        </is>
      </c>
      <c r="G258" t="inlineStr">
        <is>
          <t>ÖSTRA GÖINGE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71741-2021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44539</v>
      </c>
      <c r="E259" s="1" t="n">
        <v>46265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44937</v>
      </c>
      <c r="E260" s="1" t="n">
        <v>46265</v>
      </c>
      <c r="F260" t="inlineStr">
        <is>
          <t>SKÅNE LÄN</t>
        </is>
      </c>
      <c r="G260" t="inlineStr">
        <is>
          <t>ÖSTRA GÖINGE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46265</v>
      </c>
      <c r="F261" t="inlineStr">
        <is>
          <t>SKÅNE LÄN</t>
        </is>
      </c>
      <c r="G261" t="inlineStr">
        <is>
          <t>ÖSTRA GÖINGE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45078</v>
      </c>
      <c r="E262" s="1" t="n">
        <v>46265</v>
      </c>
      <c r="F262" t="inlineStr">
        <is>
          <t>SKÅNE LÄN</t>
        </is>
      </c>
      <c r="G262" t="inlineStr">
        <is>
          <t>ÖSTRA GÖINGE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55716-2024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45622</v>
      </c>
      <c r="E263" s="1" t="n">
        <v>46265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46265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44956</v>
      </c>
      <c r="E265" s="1" t="n">
        <v>46265</v>
      </c>
      <c r="F265" t="inlineStr">
        <is>
          <t>SKÅNE LÄN</t>
        </is>
      </c>
      <c r="G265" t="inlineStr">
        <is>
          <t>ÖSTRA GÖINGE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45142</v>
      </c>
      <c r="E266" s="1" t="n">
        <v>46265</v>
      </c>
      <c r="F266" t="inlineStr">
        <is>
          <t>SKÅNE LÄN</t>
        </is>
      </c>
      <c r="G266" t="inlineStr">
        <is>
          <t>ÖSTRA GÖINGE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45267</v>
      </c>
      <c r="E267" s="1" t="n">
        <v>46265</v>
      </c>
      <c r="F267" t="inlineStr">
        <is>
          <t>SKÅNE LÄN</t>
        </is>
      </c>
      <c r="G267" t="inlineStr">
        <is>
          <t>ÖSTRA GÖINGE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45331</v>
      </c>
      <c r="E268" s="1" t="n">
        <v>46265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45029</v>
      </c>
      <c r="E269" s="1" t="n">
        <v>46265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46265</v>
      </c>
      <c r="F270" t="inlineStr">
        <is>
          <t>SKÅNE LÄN</t>
        </is>
      </c>
      <c r="G270" t="inlineStr">
        <is>
          <t>ÖSTRA GÖINGE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46265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45538</v>
      </c>
      <c r="E272" s="1" t="n">
        <v>46265</v>
      </c>
      <c r="F272" t="inlineStr">
        <is>
          <t>SKÅNE LÄN</t>
        </is>
      </c>
      <c r="G272" t="inlineStr">
        <is>
          <t>ÖSTRA GÖINGE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46265</v>
      </c>
      <c r="F273" t="inlineStr">
        <is>
          <t>SKÅNE LÄN</t>
        </is>
      </c>
      <c r="G273" t="inlineStr">
        <is>
          <t>ÖSTRA GÖINGE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46265</v>
      </c>
      <c r="F274" t="inlineStr">
        <is>
          <t>SKÅNE LÄN</t>
        </is>
      </c>
      <c r="G274" t="inlineStr">
        <is>
          <t>ÖSTRA GÖINGE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45105</v>
      </c>
      <c r="E275" s="1" t="n">
        <v>46265</v>
      </c>
      <c r="F275" t="inlineStr">
        <is>
          <t>SKÅNE LÄN</t>
        </is>
      </c>
      <c r="G275" t="inlineStr">
        <is>
          <t>ÖSTRA GÖINGE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46265</v>
      </c>
      <c r="F276" t="inlineStr">
        <is>
          <t>SKÅNE LÄN</t>
        </is>
      </c>
      <c r="G276" t="inlineStr">
        <is>
          <t>ÖSTRA GÖINGE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46265</v>
      </c>
      <c r="F277" t="inlineStr">
        <is>
          <t>SKÅNE LÄN</t>
        </is>
      </c>
      <c r="G277" t="inlineStr">
        <is>
          <t>ÖSTRA GÖINGE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46265</v>
      </c>
      <c r="F278" t="inlineStr">
        <is>
          <t>SKÅNE LÄN</t>
        </is>
      </c>
      <c r="G278" t="inlineStr">
        <is>
          <t>ÖSTRA GÖINGE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44977</v>
      </c>
      <c r="E279" s="1" t="n">
        <v>46265</v>
      </c>
      <c r="F279" t="inlineStr">
        <is>
          <t>SKÅNE LÄN</t>
        </is>
      </c>
      <c r="G279" t="inlineStr">
        <is>
          <t>ÖSTRA GÖINGE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45139</v>
      </c>
      <c r="E280" s="1" t="n">
        <v>46265</v>
      </c>
      <c r="F280" t="inlineStr">
        <is>
          <t>SKÅNE LÄN</t>
        </is>
      </c>
      <c r="G280" t="inlineStr">
        <is>
          <t>ÖSTRA GÖINGE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45117</v>
      </c>
      <c r="E281" s="1" t="n">
        <v>46265</v>
      </c>
      <c r="F281" t="inlineStr">
        <is>
          <t>SKÅNE LÄN</t>
        </is>
      </c>
      <c r="G281" t="inlineStr">
        <is>
          <t>ÖSTRA GÖINGE</t>
        </is>
      </c>
      <c r="H281" t="inlineStr">
        <is>
          <t>Sveaskog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45856</v>
      </c>
      <c r="E282" s="1" t="n">
        <v>46265</v>
      </c>
      <c r="F282" t="inlineStr">
        <is>
          <t>SKÅNE LÄN</t>
        </is>
      </c>
      <c r="G282" t="inlineStr">
        <is>
          <t>ÖSTRA GÖINGE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46265</v>
      </c>
      <c r="F283" t="inlineStr">
        <is>
          <t>SKÅNE LÄN</t>
        </is>
      </c>
      <c r="G283" t="inlineStr">
        <is>
          <t>ÖSTRA GÖINGE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46265</v>
      </c>
      <c r="F284" t="inlineStr">
        <is>
          <t>SKÅNE LÄN</t>
        </is>
      </c>
      <c r="G284" t="inlineStr">
        <is>
          <t>ÖSTRA GÖINGE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46265</v>
      </c>
      <c r="F285" t="inlineStr">
        <is>
          <t>SKÅNE LÄN</t>
        </is>
      </c>
      <c r="G285" t="inlineStr">
        <is>
          <t>ÖSTRA GÖINGE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46265</v>
      </c>
      <c r="F286" t="inlineStr">
        <is>
          <t>SKÅNE LÄN</t>
        </is>
      </c>
      <c r="G286" t="inlineStr">
        <is>
          <t>ÖSTRA GÖINGE</t>
        </is>
      </c>
      <c r="I286" t="n">
        <v>12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45819</v>
      </c>
      <c r="E287" s="1" t="n">
        <v>46265</v>
      </c>
      <c r="F287" t="inlineStr">
        <is>
          <t>SKÅNE LÄN</t>
        </is>
      </c>
      <c r="G287" t="inlineStr">
        <is>
          <t>ÖSTRA GÖINGE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46265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69387-2021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46265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46265</v>
      </c>
      <c r="F290" t="inlineStr">
        <is>
          <t>SKÅNE LÄN</t>
        </is>
      </c>
      <c r="G290" t="inlineStr">
        <is>
          <t>ÖSTRA GÖINGE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45202</v>
      </c>
      <c r="E291" s="1" t="n">
        <v>46265</v>
      </c>
      <c r="F291" t="inlineStr">
        <is>
          <t>SKÅNE LÄN</t>
        </is>
      </c>
      <c r="G291" t="inlineStr">
        <is>
          <t>ÖSTRA GÖINGE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46265</v>
      </c>
      <c r="F292" t="inlineStr">
        <is>
          <t>SKÅNE LÄN</t>
        </is>
      </c>
      <c r="G292" t="inlineStr">
        <is>
          <t>ÖSTRA GÖINGE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46265</v>
      </c>
      <c r="F293" t="inlineStr">
        <is>
          <t>SKÅNE LÄN</t>
        </is>
      </c>
      <c r="G293" t="inlineStr">
        <is>
          <t>ÖSTRA GÖINGE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46279-2024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45581</v>
      </c>
      <c r="E294" s="1" t="n">
        <v>46265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46265</v>
      </c>
      <c r="F295" t="inlineStr">
        <is>
          <t>SKÅNE LÄN</t>
        </is>
      </c>
      <c r="G295" t="inlineStr">
        <is>
          <t>ÖSTRA GÖINGE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43660-2024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46265</v>
      </c>
      <c r="F296" t="inlineStr">
        <is>
          <t>SKÅNE LÄN</t>
        </is>
      </c>
      <c r="G296" t="inlineStr">
        <is>
          <t>ÖSTRA GÖINGE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46265</v>
      </c>
      <c r="F297" t="inlineStr">
        <is>
          <t>SKÅNE LÄN</t>
        </is>
      </c>
      <c r="G297" t="inlineStr">
        <is>
          <t>ÖSTRA GÖINGE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10497-2022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44623</v>
      </c>
      <c r="E298" s="1" t="n">
        <v>46265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46265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46265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45076</v>
      </c>
      <c r="E301" s="1" t="n">
        <v>46265</v>
      </c>
      <c r="F301" t="inlineStr">
        <is>
          <t>SKÅNE LÄN</t>
        </is>
      </c>
      <c r="G301" t="inlineStr">
        <is>
          <t>ÖSTRA GÖINGE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46265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45172</v>
      </c>
      <c r="E303" s="1" t="n">
        <v>46265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46265</v>
      </c>
      <c r="F304" t="inlineStr">
        <is>
          <t>SKÅNE LÄN</t>
        </is>
      </c>
      <c r="G304" t="inlineStr">
        <is>
          <t>ÖSTRA GÖINGE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42192-2023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45179</v>
      </c>
      <c r="E305" s="1" t="n">
        <v>46265</v>
      </c>
      <c r="F305" t="inlineStr">
        <is>
          <t>SKÅNE LÄN</t>
        </is>
      </c>
      <c r="G305" t="inlineStr">
        <is>
          <t>ÖSTRA GÖINGE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46265</v>
      </c>
      <c r="F306" t="inlineStr">
        <is>
          <t>SKÅNE LÄN</t>
        </is>
      </c>
      <c r="G306" t="inlineStr">
        <is>
          <t>ÖSTRA GÖINGE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46265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46265</v>
      </c>
      <c r="F308" t="inlineStr">
        <is>
          <t>SKÅNE LÄN</t>
        </is>
      </c>
      <c r="G308" t="inlineStr">
        <is>
          <t>ÖSTRA GÖINGE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46265</v>
      </c>
      <c r="F309" t="inlineStr">
        <is>
          <t>SKÅNE LÄN</t>
        </is>
      </c>
      <c r="G309" t="inlineStr">
        <is>
          <t>ÖSTRA GÖINGE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46265</v>
      </c>
      <c r="F310" t="inlineStr">
        <is>
          <t>SKÅNE LÄN</t>
        </is>
      </c>
      <c r="G310" t="inlineStr">
        <is>
          <t>ÖSTRA GÖINGE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45774</v>
      </c>
      <c r="E311" s="1" t="n">
        <v>46265</v>
      </c>
      <c r="F311" t="inlineStr">
        <is>
          <t>SKÅNE LÄN</t>
        </is>
      </c>
      <c r="G311" t="inlineStr">
        <is>
          <t>ÖSTRA GÖINGE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46265</v>
      </c>
      <c r="F312" t="inlineStr">
        <is>
          <t>SKÅNE LÄN</t>
        </is>
      </c>
      <c r="G312" t="inlineStr">
        <is>
          <t>ÖSTRA GÖINGE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46265</v>
      </c>
      <c r="F313" t="inlineStr">
        <is>
          <t>SKÅNE LÄN</t>
        </is>
      </c>
      <c r="G313" t="inlineStr">
        <is>
          <t>ÖSTRA GÖINGE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46265</v>
      </c>
      <c r="F314" t="inlineStr">
        <is>
          <t>SKÅNE LÄN</t>
        </is>
      </c>
      <c r="G314" t="inlineStr">
        <is>
          <t>ÖSTRA GÖINGE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46265</v>
      </c>
      <c r="F315" t="inlineStr">
        <is>
          <t>SKÅNE LÄN</t>
        </is>
      </c>
      <c r="G315" t="inlineStr">
        <is>
          <t>ÖSTRA GÖINGE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46265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46265</v>
      </c>
      <c r="F317" t="inlineStr">
        <is>
          <t>SKÅNE LÄN</t>
        </is>
      </c>
      <c r="G317" t="inlineStr">
        <is>
          <t>ÖSTRA GÖINGE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46265</v>
      </c>
      <c r="F318" t="inlineStr">
        <is>
          <t>SKÅNE LÄN</t>
        </is>
      </c>
      <c r="G318" t="inlineStr">
        <is>
          <t>ÖSTRA GÖINGE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46265</v>
      </c>
      <c r="F319" t="inlineStr">
        <is>
          <t>SKÅNE LÄN</t>
        </is>
      </c>
      <c r="G319" t="inlineStr">
        <is>
          <t>ÖSTRA GÖINGE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46265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45804</v>
      </c>
      <c r="E321" s="1" t="n">
        <v>46265</v>
      </c>
      <c r="F321" t="inlineStr">
        <is>
          <t>SKÅNE LÄN</t>
        </is>
      </c>
      <c r="G321" t="inlineStr">
        <is>
          <t>ÖSTRA GÖINGE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46265</v>
      </c>
      <c r="F322" t="inlineStr">
        <is>
          <t>SKÅNE LÄN</t>
        </is>
      </c>
      <c r="G322" t="inlineStr">
        <is>
          <t>ÖSTRA GÖINGE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46265</v>
      </c>
      <c r="F323" t="inlineStr">
        <is>
          <t>SKÅNE LÄN</t>
        </is>
      </c>
      <c r="G323" t="inlineStr">
        <is>
          <t>ÖSTRA GÖINGE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46265</v>
      </c>
      <c r="F324" t="inlineStr">
        <is>
          <t>SKÅNE LÄN</t>
        </is>
      </c>
      <c r="G324" t="inlineStr">
        <is>
          <t>ÖSTRA GÖINGE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44853</v>
      </c>
      <c r="E325" s="1" t="n">
        <v>46265</v>
      </c>
      <c r="F325" t="inlineStr">
        <is>
          <t>SKÅNE LÄN</t>
        </is>
      </c>
      <c r="G325" t="inlineStr">
        <is>
          <t>ÖSTRA GÖINGE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46265</v>
      </c>
      <c r="F326" t="inlineStr">
        <is>
          <t>SKÅNE LÄN</t>
        </is>
      </c>
      <c r="G326" t="inlineStr">
        <is>
          <t>ÖSTRA GÖINGE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46265</v>
      </c>
      <c r="F327" t="inlineStr">
        <is>
          <t>SKÅNE LÄN</t>
        </is>
      </c>
      <c r="G327" t="inlineStr">
        <is>
          <t>ÖSTRA GÖINGE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46265</v>
      </c>
      <c r="F328" t="inlineStr">
        <is>
          <t>SKÅNE LÄN</t>
        </is>
      </c>
      <c r="G328" t="inlineStr">
        <is>
          <t>ÖSTRA GÖINGE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44840</v>
      </c>
      <c r="E329" s="1" t="n">
        <v>46265</v>
      </c>
      <c r="F329" t="inlineStr">
        <is>
          <t>SKÅNE LÄN</t>
        </is>
      </c>
      <c r="G329" t="inlineStr">
        <is>
          <t>ÖSTRA GÖINGE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46265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46265</v>
      </c>
      <c r="F331" t="inlineStr">
        <is>
          <t>SKÅNE LÄN</t>
        </is>
      </c>
      <c r="G331" t="inlineStr">
        <is>
          <t>ÖSTRA GÖINGE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47592-2023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46265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46265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61096-2022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46265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46265</v>
      </c>
      <c r="F335" t="inlineStr">
        <is>
          <t>SKÅNE LÄN</t>
        </is>
      </c>
      <c r="G335" t="inlineStr">
        <is>
          <t>ÖSTRA GÖINGE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45330</v>
      </c>
      <c r="E336" s="1" t="n">
        <v>46265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45349</v>
      </c>
      <c r="E337" s="1" t="n">
        <v>46265</v>
      </c>
      <c r="F337" t="inlineStr">
        <is>
          <t>SKÅNE LÄN</t>
        </is>
      </c>
      <c r="G337" t="inlineStr">
        <is>
          <t>ÖSTRA GÖINGE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46265</v>
      </c>
      <c r="F338" t="inlineStr">
        <is>
          <t>SKÅNE LÄN</t>
        </is>
      </c>
      <c r="G338" t="inlineStr">
        <is>
          <t>ÖSTRA GÖINGE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46265</v>
      </c>
      <c r="F339" t="inlineStr">
        <is>
          <t>SKÅNE LÄN</t>
        </is>
      </c>
      <c r="G339" t="inlineStr">
        <is>
          <t>ÖSTRA GÖINGE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24028-2022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44723</v>
      </c>
      <c r="E340" s="1" t="n">
        <v>46265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46265</v>
      </c>
      <c r="F341" t="inlineStr">
        <is>
          <t>SKÅNE LÄN</t>
        </is>
      </c>
      <c r="G341" t="inlineStr">
        <is>
          <t>ÖSTRA GÖINGE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45310</v>
      </c>
      <c r="E342" s="1" t="n">
        <v>46265</v>
      </c>
      <c r="F342" t="inlineStr">
        <is>
          <t>SKÅNE LÄN</t>
        </is>
      </c>
      <c r="G342" t="inlineStr">
        <is>
          <t>ÖSTRA GÖINGE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46265</v>
      </c>
      <c r="F343" t="inlineStr">
        <is>
          <t>SKÅNE LÄN</t>
        </is>
      </c>
      <c r="G343" t="inlineStr">
        <is>
          <t>ÖSTRA GÖINGE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46265</v>
      </c>
      <c r="F344" t="inlineStr">
        <is>
          <t>SKÅNE LÄN</t>
        </is>
      </c>
      <c r="G344" t="inlineStr">
        <is>
          <t>ÖSTRA GÖINGE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71747-2021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44539</v>
      </c>
      <c r="E345" s="1" t="n">
        <v>46265</v>
      </c>
      <c r="F345" t="inlineStr">
        <is>
          <t>SKÅNE LÄN</t>
        </is>
      </c>
      <c r="G345" t="inlineStr">
        <is>
          <t>ÖSTRA GÖINGE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46265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46265</v>
      </c>
      <c r="F347" t="inlineStr">
        <is>
          <t>SKÅNE LÄN</t>
        </is>
      </c>
      <c r="G347" t="inlineStr">
        <is>
          <t>ÖSTRA GÖINGE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45567</v>
      </c>
      <c r="E348" s="1" t="n">
        <v>46265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44796</v>
      </c>
      <c r="E349" s="1" t="n">
        <v>46265</v>
      </c>
      <c r="F349" t="inlineStr">
        <is>
          <t>SKÅNE LÄN</t>
        </is>
      </c>
      <c r="G349" t="inlineStr">
        <is>
          <t>ÖSTRA GÖINGE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64181-2023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45279</v>
      </c>
      <c r="E350" s="1" t="n">
        <v>46265</v>
      </c>
      <c r="F350" t="inlineStr">
        <is>
          <t>SKÅNE LÄN</t>
        </is>
      </c>
      <c r="G350" t="inlineStr">
        <is>
          <t>ÖSTRA GÖINGE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66526-2021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44519</v>
      </c>
      <c r="E351" s="1" t="n">
        <v>46265</v>
      </c>
      <c r="F351" t="inlineStr">
        <is>
          <t>SKÅNE LÄN</t>
        </is>
      </c>
      <c r="G351" t="inlineStr">
        <is>
          <t>ÖSTRA GÖINGE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44606</v>
      </c>
      <c r="E352" s="1" t="n">
        <v>46265</v>
      </c>
      <c r="F352" t="inlineStr">
        <is>
          <t>SKÅNE LÄN</t>
        </is>
      </c>
      <c r="G352" t="inlineStr">
        <is>
          <t>ÖSTRA GÖINGE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46265</v>
      </c>
      <c r="F353" t="inlineStr">
        <is>
          <t>SKÅNE LÄN</t>
        </is>
      </c>
      <c r="G353" t="inlineStr">
        <is>
          <t>ÖSTRA GÖINGE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44852</v>
      </c>
      <c r="E354" s="1" t="n">
        <v>46265</v>
      </c>
      <c r="F354" t="inlineStr">
        <is>
          <t>SKÅNE LÄN</t>
        </is>
      </c>
      <c r="G354" t="inlineStr">
        <is>
          <t>ÖSTRA GÖINGE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44593</v>
      </c>
      <c r="E355" s="1" t="n">
        <v>46265</v>
      </c>
      <c r="F355" t="inlineStr">
        <is>
          <t>SKÅNE LÄN</t>
        </is>
      </c>
      <c r="G355" t="inlineStr">
        <is>
          <t>ÖSTRA GÖINGE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45475</v>
      </c>
      <c r="E356" s="1" t="n">
        <v>46265</v>
      </c>
      <c r="F356" t="inlineStr">
        <is>
          <t>SKÅNE LÄN</t>
        </is>
      </c>
      <c r="G356" t="inlineStr">
        <is>
          <t>ÖSTRA GÖINGE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10937-2022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44627</v>
      </c>
      <c r="E357" s="1" t="n">
        <v>46265</v>
      </c>
      <c r="F357" t="inlineStr">
        <is>
          <t>SKÅNE LÄN</t>
        </is>
      </c>
      <c r="G357" t="inlineStr">
        <is>
          <t>ÖSTRA GÖINGE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45583</v>
      </c>
      <c r="E358" s="1" t="n">
        <v>46265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44946</v>
      </c>
      <c r="E359" s="1" t="n">
        <v>46265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45316</v>
      </c>
      <c r="E360" s="1" t="n">
        <v>46265</v>
      </c>
      <c r="F360" t="inlineStr">
        <is>
          <t>SKÅNE LÄN</t>
        </is>
      </c>
      <c r="G360" t="inlineStr">
        <is>
          <t>ÖSTRA GÖINGE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46265</v>
      </c>
      <c r="F361" t="inlineStr">
        <is>
          <t>SKÅNE LÄN</t>
        </is>
      </c>
      <c r="G361" t="inlineStr">
        <is>
          <t>ÖSTRA GÖINGE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45141</v>
      </c>
      <c r="E362" s="1" t="n">
        <v>46265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6782-2022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44602</v>
      </c>
      <c r="E363" s="1" t="n">
        <v>46265</v>
      </c>
      <c r="F363" t="inlineStr">
        <is>
          <t>SKÅNE LÄN</t>
        </is>
      </c>
      <c r="G363" t="inlineStr">
        <is>
          <t>ÖSTRA GÖINGE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46265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46265</v>
      </c>
      <c r="F365" t="inlineStr">
        <is>
          <t>SKÅNE LÄN</t>
        </is>
      </c>
      <c r="G365" t="inlineStr">
        <is>
          <t>ÖSTRA GÖINGE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46265</v>
      </c>
      <c r="F366" t="inlineStr">
        <is>
          <t>SKÅNE LÄN</t>
        </is>
      </c>
      <c r="G366" t="inlineStr">
        <is>
          <t>ÖSTRA GÖINGE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45568</v>
      </c>
      <c r="E367" s="1" t="n">
        <v>46265</v>
      </c>
      <c r="F367" t="inlineStr">
        <is>
          <t>SKÅNE LÄN</t>
        </is>
      </c>
      <c r="G367" t="inlineStr">
        <is>
          <t>ÖSTRA GÖINGE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44873</v>
      </c>
      <c r="E368" s="1" t="n">
        <v>46265</v>
      </c>
      <c r="F368" t="inlineStr">
        <is>
          <t>SKÅNE LÄN</t>
        </is>
      </c>
      <c r="G368" t="inlineStr">
        <is>
          <t>ÖSTRA GÖINGE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35673-2023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46265</v>
      </c>
      <c r="F369" t="inlineStr">
        <is>
          <t>SKÅNE LÄN</t>
        </is>
      </c>
      <c r="G369" t="inlineStr">
        <is>
          <t>ÖSTRA GÖINGE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46265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46265</v>
      </c>
      <c r="F371" t="inlineStr">
        <is>
          <t>SKÅNE LÄN</t>
        </is>
      </c>
      <c r="G371" t="inlineStr">
        <is>
          <t>ÖSTRA GÖINGE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46265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45758</v>
      </c>
      <c r="E373" s="1" t="n">
        <v>46265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45076</v>
      </c>
      <c r="E374" s="1" t="n">
        <v>46265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46265</v>
      </c>
      <c r="F375" t="inlineStr">
        <is>
          <t>SKÅNE LÄN</t>
        </is>
      </c>
      <c r="G375" t="inlineStr">
        <is>
          <t>ÖSTRA GÖINGE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46265</v>
      </c>
      <c r="F376" t="inlineStr">
        <is>
          <t>SKÅNE LÄN</t>
        </is>
      </c>
      <c r="G376" t="inlineStr">
        <is>
          <t>ÖSTRA GÖINGE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46265</v>
      </c>
      <c r="F377" t="inlineStr">
        <is>
          <t>SKÅNE LÄN</t>
        </is>
      </c>
      <c r="G377" t="inlineStr">
        <is>
          <t>ÖSTRA GÖINGE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46265</v>
      </c>
      <c r="F378" t="inlineStr">
        <is>
          <t>SKÅNE LÄN</t>
        </is>
      </c>
      <c r="G378" t="inlineStr">
        <is>
          <t>ÖSTRA GÖINGE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45029</v>
      </c>
      <c r="E379" s="1" t="n">
        <v>46265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52522-2021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44466</v>
      </c>
      <c r="E380" s="1" t="n">
        <v>46265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46265</v>
      </c>
      <c r="F381" t="inlineStr">
        <is>
          <t>SKÅNE LÄN</t>
        </is>
      </c>
      <c r="G381" t="inlineStr">
        <is>
          <t>ÖSTRA GÖINGE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46265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46265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46265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46265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46265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46265</v>
      </c>
      <c r="F387" t="inlineStr">
        <is>
          <t>SKÅNE LÄN</t>
        </is>
      </c>
      <c r="G387" t="inlineStr">
        <is>
          <t>ÖSTRA GÖINGE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45021</v>
      </c>
      <c r="E388" s="1" t="n">
        <v>46265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44958</v>
      </c>
      <c r="E389" s="1" t="n">
        <v>46265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46265</v>
      </c>
      <c r="F390" t="inlineStr">
        <is>
          <t>SKÅNE LÄN</t>
        </is>
      </c>
      <c r="G390" t="inlineStr">
        <is>
          <t>ÖSTRA GÖINGE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37303-2023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45156</v>
      </c>
      <c r="E391" s="1" t="n">
        <v>46265</v>
      </c>
      <c r="F391" t="inlineStr">
        <is>
          <t>SKÅNE LÄN</t>
        </is>
      </c>
      <c r="G391" t="inlineStr">
        <is>
          <t>ÖSTRA GÖINGE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45243</v>
      </c>
      <c r="E392" s="1" t="n">
        <v>46265</v>
      </c>
      <c r="F392" t="inlineStr">
        <is>
          <t>SKÅNE LÄN</t>
        </is>
      </c>
      <c r="G392" t="inlineStr">
        <is>
          <t>ÖSTRA GÖINGE</t>
        </is>
      </c>
      <c r="I392" t="n">
        <v>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19068-2025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45765</v>
      </c>
      <c r="E393" s="1" t="n">
        <v>46265</v>
      </c>
      <c r="F393" t="inlineStr">
        <is>
          <t>SKÅNE LÄN</t>
        </is>
      </c>
      <c r="G393" t="inlineStr">
        <is>
          <t>ÖSTRA GÖINGE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45373</v>
      </c>
      <c r="E394" s="1" t="n">
        <v>46265</v>
      </c>
      <c r="F394" t="inlineStr">
        <is>
          <t>SKÅNE LÄN</t>
        </is>
      </c>
      <c r="G394" t="inlineStr">
        <is>
          <t>ÖSTRA GÖINGE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46265</v>
      </c>
      <c r="F395" t="inlineStr">
        <is>
          <t>SKÅNE LÄN</t>
        </is>
      </c>
      <c r="G395" t="inlineStr">
        <is>
          <t>ÖSTRA GÖINGE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27322-2022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44742</v>
      </c>
      <c r="E396" s="1" t="n">
        <v>46265</v>
      </c>
      <c r="F396" t="inlineStr">
        <is>
          <t>SKÅNE LÄN</t>
        </is>
      </c>
      <c r="G396" t="inlineStr">
        <is>
          <t>ÖSTRA GÖINGE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45321</v>
      </c>
      <c r="E397" s="1" t="n">
        <v>46265</v>
      </c>
      <c r="F397" t="inlineStr">
        <is>
          <t>SKÅNE LÄN</t>
        </is>
      </c>
      <c r="G397" t="inlineStr">
        <is>
          <t>ÖSTRA GÖINGE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46265</v>
      </c>
      <c r="F398" t="inlineStr">
        <is>
          <t>SKÅNE LÄN</t>
        </is>
      </c>
      <c r="G398" t="inlineStr">
        <is>
          <t>ÖSTRA GÖINGE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48408-2023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45205</v>
      </c>
      <c r="E399" s="1" t="n">
        <v>46265</v>
      </c>
      <c r="F399" t="inlineStr">
        <is>
          <t>SKÅNE LÄN</t>
        </is>
      </c>
      <c r="G399" t="inlineStr">
        <is>
          <t>ÖSTRA GÖINGE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46265</v>
      </c>
      <c r="F400" t="inlineStr">
        <is>
          <t>SKÅNE LÄN</t>
        </is>
      </c>
      <c r="G400" t="inlineStr">
        <is>
          <t>ÖSTRA GÖINGE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58279-2024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46265</v>
      </c>
      <c r="F401" t="inlineStr">
        <is>
          <t>SKÅNE LÄN</t>
        </is>
      </c>
      <c r="G401" t="inlineStr">
        <is>
          <t>ÖSTRA GÖINGE</t>
        </is>
      </c>
      <c r="I401" t="n">
        <v>9.4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46265</v>
      </c>
      <c r="F402" t="inlineStr">
        <is>
          <t>SKÅNE LÄN</t>
        </is>
      </c>
      <c r="G402" t="inlineStr">
        <is>
          <t>ÖSTRA GÖINGE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45307</v>
      </c>
      <c r="E403" s="1" t="n">
        <v>46265</v>
      </c>
      <c r="F403" t="inlineStr">
        <is>
          <t>SKÅNE LÄN</t>
        </is>
      </c>
      <c r="G403" t="inlineStr">
        <is>
          <t>ÖSTRA GÖINGE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21260-2026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46147</v>
      </c>
      <c r="E404" s="1" t="n">
        <v>46265</v>
      </c>
      <c r="F404" t="inlineStr">
        <is>
          <t>SKÅNE LÄN</t>
        </is>
      </c>
      <c r="G404" t="inlineStr">
        <is>
          <t>ÖSTRA GÖINGE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45680</v>
      </c>
      <c r="E405" s="1" t="n">
        <v>46265</v>
      </c>
      <c r="F405" t="inlineStr">
        <is>
          <t>SKÅNE LÄN</t>
        </is>
      </c>
      <c r="G405" t="inlineStr">
        <is>
          <t>ÖSTRA GÖINGE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45246</v>
      </c>
      <c r="E406" s="1" t="n">
        <v>46265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44930</v>
      </c>
      <c r="E407" s="1" t="n">
        <v>46265</v>
      </c>
      <c r="F407" t="inlineStr">
        <is>
          <t>SKÅNE LÄN</t>
        </is>
      </c>
      <c r="G407" t="inlineStr">
        <is>
          <t>ÖSTRA GÖINGE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45203</v>
      </c>
      <c r="E408" s="1" t="n">
        <v>46265</v>
      </c>
      <c r="F408" t="inlineStr">
        <is>
          <t>SKÅNE LÄN</t>
        </is>
      </c>
      <c r="G408" t="inlineStr">
        <is>
          <t>ÖSTRA GÖINGE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45252</v>
      </c>
      <c r="E409" s="1" t="n">
        <v>46265</v>
      </c>
      <c r="F409" t="inlineStr">
        <is>
          <t>SKÅNE LÄN</t>
        </is>
      </c>
      <c r="G409" t="inlineStr">
        <is>
          <t>ÖSTRA GÖINGE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22327-2026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46265</v>
      </c>
      <c r="F410" t="inlineStr">
        <is>
          <t>SKÅNE LÄN</t>
        </is>
      </c>
      <c r="G410" t="inlineStr">
        <is>
          <t>ÖSTRA GÖINGE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45727</v>
      </c>
      <c r="E411" s="1" t="n">
        <v>46265</v>
      </c>
      <c r="F411" t="inlineStr">
        <is>
          <t>SKÅNE LÄN</t>
        </is>
      </c>
      <c r="G411" t="inlineStr">
        <is>
          <t>ÖSTRA GÖINGE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46265</v>
      </c>
      <c r="F412" t="inlineStr">
        <is>
          <t>SKÅNE LÄN</t>
        </is>
      </c>
      <c r="G412" t="inlineStr">
        <is>
          <t>ÖSTRA GÖINGE</t>
        </is>
      </c>
      <c r="H412" t="inlineStr">
        <is>
          <t>Sveaskog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46265</v>
      </c>
      <c r="F413" t="inlineStr">
        <is>
          <t>SKÅNE LÄN</t>
        </is>
      </c>
      <c r="G413" t="inlineStr">
        <is>
          <t>ÖSTRA GÖINGE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43054-2025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46265</v>
      </c>
      <c r="F414" t="inlineStr">
        <is>
          <t>SKÅNE LÄN</t>
        </is>
      </c>
      <c r="G414" t="inlineStr">
        <is>
          <t>ÖSTRA GÖINGE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46265</v>
      </c>
      <c r="F415" t="inlineStr">
        <is>
          <t>SKÅNE LÄN</t>
        </is>
      </c>
      <c r="G415" t="inlineStr">
        <is>
          <t>ÖSTRA GÖINGE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46265</v>
      </c>
      <c r="F416" t="inlineStr">
        <is>
          <t>SKÅNE LÄN</t>
        </is>
      </c>
      <c r="G416" t="inlineStr">
        <is>
          <t>ÖSTRA GÖINGE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46265</v>
      </c>
      <c r="F417" t="inlineStr">
        <is>
          <t>SKÅNE LÄN</t>
        </is>
      </c>
      <c r="G417" t="inlineStr">
        <is>
          <t>ÖSTRA GÖINGE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46265</v>
      </c>
      <c r="F418" t="inlineStr">
        <is>
          <t>SKÅNE LÄN</t>
        </is>
      </c>
      <c r="G418" t="inlineStr">
        <is>
          <t>ÖSTRA GÖINGE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46265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45489</v>
      </c>
      <c r="E420" s="1" t="n">
        <v>46265</v>
      </c>
      <c r="F420" t="inlineStr">
        <is>
          <t>SKÅNE LÄN</t>
        </is>
      </c>
      <c r="G420" t="inlineStr">
        <is>
          <t>ÖSTRA GÖINGE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45638</v>
      </c>
      <c r="E421" s="1" t="n">
        <v>46265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46265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45706</v>
      </c>
      <c r="E423" s="1" t="n">
        <v>46265</v>
      </c>
      <c r="F423" t="inlineStr">
        <is>
          <t>SKÅNE LÄN</t>
        </is>
      </c>
      <c r="G423" t="inlineStr">
        <is>
          <t>ÖSTRA GÖINGE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45733</v>
      </c>
      <c r="E424" s="1" t="n">
        <v>46265</v>
      </c>
      <c r="F424" t="inlineStr">
        <is>
          <t>SKÅNE LÄN</t>
        </is>
      </c>
      <c r="G424" t="inlineStr">
        <is>
          <t>ÖSTRA GÖINGE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46265</v>
      </c>
      <c r="F425" t="inlineStr">
        <is>
          <t>SKÅNE LÄN</t>
        </is>
      </c>
      <c r="G425" t="inlineStr">
        <is>
          <t>ÖSTRA GÖINGE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46265</v>
      </c>
      <c r="F426" t="inlineStr">
        <is>
          <t>SKÅNE LÄN</t>
        </is>
      </c>
      <c r="G426" t="inlineStr">
        <is>
          <t>ÖSTRA GÖINGE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46265</v>
      </c>
      <c r="F427" t="inlineStr">
        <is>
          <t>SKÅNE LÄN</t>
        </is>
      </c>
      <c r="G427" t="inlineStr">
        <is>
          <t>ÖSTRA GÖINGE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46265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46265</v>
      </c>
      <c r="F429" t="inlineStr">
        <is>
          <t>SKÅNE LÄN</t>
        </is>
      </c>
      <c r="G429" t="inlineStr">
        <is>
          <t>ÖSTRA GÖINGE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44585</v>
      </c>
      <c r="E430" s="1" t="n">
        <v>46265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46265</v>
      </c>
      <c r="F431" t="inlineStr">
        <is>
          <t>SKÅNE LÄN</t>
        </is>
      </c>
      <c r="G431" t="inlineStr">
        <is>
          <t>ÖSTRA GÖINGE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46265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46265</v>
      </c>
      <c r="F433" t="inlineStr">
        <is>
          <t>SKÅNE LÄN</t>
        </is>
      </c>
      <c r="G433" t="inlineStr">
        <is>
          <t>ÖSTRA GÖINGE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46265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46265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46265</v>
      </c>
      <c r="F436" t="inlineStr">
        <is>
          <t>SKÅNE LÄN</t>
        </is>
      </c>
      <c r="G436" t="inlineStr">
        <is>
          <t>ÖSTRA GÖINGE</t>
        </is>
      </c>
      <c r="I436" t="n">
        <v>34.5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46265</v>
      </c>
      <c r="F437" t="inlineStr">
        <is>
          <t>SKÅNE LÄN</t>
        </is>
      </c>
      <c r="G437" t="inlineStr">
        <is>
          <t>ÖSTRA GÖINGE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32982-2026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46241</v>
      </c>
      <c r="E438" s="1" t="n">
        <v>46265</v>
      </c>
      <c r="F438" t="inlineStr">
        <is>
          <t>SKÅNE LÄN</t>
        </is>
      </c>
      <c r="G438" t="inlineStr">
        <is>
          <t>ÖSTRA GÖINGE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46265</v>
      </c>
      <c r="F439" t="inlineStr">
        <is>
          <t>SKÅNE LÄN</t>
        </is>
      </c>
      <c r="G439" t="inlineStr">
        <is>
          <t>ÖSTRA GÖINGE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46248</v>
      </c>
      <c r="E440" s="1" t="n">
        <v>46265</v>
      </c>
      <c r="F440" t="inlineStr">
        <is>
          <t>SKÅNE LÄN</t>
        </is>
      </c>
      <c r="G440" t="inlineStr">
        <is>
          <t>ÖSTRA GÖINGE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46265</v>
      </c>
      <c r="F441" t="inlineStr">
        <is>
          <t>SKÅNE LÄN</t>
        </is>
      </c>
      <c r="G441" t="inlineStr">
        <is>
          <t>ÖSTRA GÖINGE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46265</v>
      </c>
      <c r="F442" t="inlineStr">
        <is>
          <t>SKÅNE LÄN</t>
        </is>
      </c>
      <c r="G442" t="inlineStr">
        <is>
          <t>ÖSTRA GÖINGE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46265</v>
      </c>
      <c r="F443" t="inlineStr">
        <is>
          <t>SKÅNE LÄN</t>
        </is>
      </c>
      <c r="G443" t="inlineStr">
        <is>
          <t>ÖSTRA GÖINGE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46265</v>
      </c>
      <c r="F444" t="inlineStr">
        <is>
          <t>SKÅNE LÄN</t>
        </is>
      </c>
      <c r="G444" t="inlineStr">
        <is>
          <t>ÖSTRA GÖINGE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30111-2026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46206</v>
      </c>
      <c r="E445" s="1" t="n">
        <v>46265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46265</v>
      </c>
      <c r="F446" t="inlineStr">
        <is>
          <t>SKÅNE LÄN</t>
        </is>
      </c>
      <c r="G446" t="inlineStr">
        <is>
          <t>ÖSTRA GÖINGE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46265</v>
      </c>
      <c r="F447" t="inlineStr">
        <is>
          <t>SKÅNE LÄN</t>
        </is>
      </c>
      <c r="G447" t="inlineStr">
        <is>
          <t>ÖSTRA GÖINGE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34840-2026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46258</v>
      </c>
      <c r="E448" s="1" t="n">
        <v>46265</v>
      </c>
      <c r="F448" t="inlineStr">
        <is>
          <t>SKÅNE LÄN</t>
        </is>
      </c>
      <c r="G448" t="inlineStr">
        <is>
          <t>ÖSTRA GÖINGE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46265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46265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46265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46265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46265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46265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46265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46265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46265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46265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46265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46265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46265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46265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46265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46265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46265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46265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46265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46265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46265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46265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46265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46265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46265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46265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46265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46265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46265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46265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46265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46265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46265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46265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46265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46265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46265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46265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46265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46265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46265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46265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2026-08-31T10:02:00Z</dcterms:created>
  <dcterms:modified xmlns:dcterms="http://purl.org/dc/terms/" xmlns:xsi="http://www.w3.org/2001/XMLSchema-instance" xsi:type="dcterms:W3CDTF">2026-08-31T10:02:01Z</dcterms:modified>
</cp:coreProperties>
</file>