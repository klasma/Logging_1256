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46257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46257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46257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46257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46257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46257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46257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46257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46257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46257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46257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46257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62142-2023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45267</v>
      </c>
      <c r="E20" s="1" t="n">
        <v>46257</v>
      </c>
      <c r="F20" t="inlineStr">
        <is>
          <t>SKÅNE LÄN</t>
        </is>
      </c>
      <c r="G20" t="inlineStr">
        <is>
          <t>ÖSTRA GÖINGE</t>
        </is>
      </c>
      <c r="I20" t="n">
        <v>8.1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62142-2023 artfynd.xlsx", "A 62142-2023")</f>
        <v/>
      </c>
      <c r="X20">
        <f>HYPERLINK("https://klasma.github.io/Logging_1256/kartor/A 62142-2023 karta.png", "A 62142-2023")</f>
        <v/>
      </c>
      <c r="Y20">
        <f>HYPERLINK("https://klasma.github.io/Logging_1256/kartor_geotiff/A 62142-2023 georefererad karta.tif", "A 62142-2023")</f>
        <v/>
      </c>
      <c r="AA20">
        <f>HYPERLINK("https://klasma.github.io/Logging_1256/klagomål/A 62142-2023 FSC-klagomål.docx", "A 62142-2023")</f>
        <v/>
      </c>
      <c r="AB20">
        <f>HYPERLINK("https://klasma.github.io/Logging_1256/klagomålsmail/A 62142-2023 FSC-klagomål mail.docx", "A 62142-2023")</f>
        <v/>
      </c>
      <c r="AC20">
        <f>HYPERLINK("https://klasma.github.io/Logging_1256/tillsyn/A 62142-2023 tillsynsbegäran.docx", "A 62142-2023")</f>
        <v/>
      </c>
      <c r="AD20">
        <f>HYPERLINK("https://klasma.github.io/Logging_1256/tillsynsmail/A 62142-2023 tillsynsbegäran mail.docx", "A 62142-2023")</f>
        <v/>
      </c>
      <c r="AE20">
        <f>HYPERLINK("https://klasma.github.io/Logging_1256/fåglar/A 62142-2023 prioriterade fågelarter.docx", "A 62142-2023")</f>
        <v/>
      </c>
    </row>
    <row r="21" ht="15" customHeight="1">
      <c r="A21" t="inlineStr">
        <is>
          <t>A 56102-2022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44889</v>
      </c>
      <c r="E21" s="1" t="n">
        <v>46257</v>
      </c>
      <c r="F21" t="inlineStr">
        <is>
          <t>SKÅNE LÄN</t>
        </is>
      </c>
      <c r="G21" t="inlineStr">
        <is>
          <t>ÖSTRA GÖINGE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56102-2022 artfynd.xlsx", "A 56102-2022")</f>
        <v/>
      </c>
      <c r="X21">
        <f>HYPERLINK("https://klasma.github.io/Logging_1256/kartor/A 56102-2022 karta.png", "A 56102-2022")</f>
        <v/>
      </c>
      <c r="Y21">
        <f>HYPERLINK("https://klasma.github.io/Logging_1256/kartor_geotiff/A 56102-2022 georefererad karta.tif", "A 56102-2022")</f>
        <v/>
      </c>
      <c r="AA21">
        <f>HYPERLINK("https://klasma.github.io/Logging_1256/klagomål/A 56102-2022 FSC-klagomål.docx", "A 56102-2022")</f>
        <v/>
      </c>
      <c r="AB21">
        <f>HYPERLINK("https://klasma.github.io/Logging_1256/klagomålsmail/A 56102-2022 FSC-klagomål mail.docx", "A 56102-2022")</f>
        <v/>
      </c>
      <c r="AC21">
        <f>HYPERLINK("https://klasma.github.io/Logging_1256/tillsyn/A 56102-2022 tillsynsbegäran.docx", "A 56102-2022")</f>
        <v/>
      </c>
      <c r="AD21">
        <f>HYPERLINK("https://klasma.github.io/Logging_1256/tillsynsmail/A 56102-2022 tillsynsbegäran mail.docx", "A 56102-2022")</f>
        <v/>
      </c>
      <c r="AE21">
        <f>HYPERLINK("https://klasma.github.io/Logging_1256/fåglar/A 56102-2022 prioriterade fågelarter.docx", "A 56102-2022")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46257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34340-2025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46257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34340-2025 artfynd.xlsx", "A 34340-2025")</f>
        <v/>
      </c>
      <c r="X23">
        <f>HYPERLINK("https://klasma.github.io/Logging_1256/kartor/A 34340-2025 karta.png", "A 34340-2025")</f>
        <v/>
      </c>
      <c r="Y23">
        <f>HYPERLINK("https://klasma.github.io/Logging_1256/kartor_geotiff/A 34340-2025 georefererad karta.tif", "A 34340-2025")</f>
        <v/>
      </c>
      <c r="AA23">
        <f>HYPERLINK("https://klasma.github.io/Logging_1256/klagomål/A 34340-2025 FSC-klagomål.docx", "A 34340-2025")</f>
        <v/>
      </c>
      <c r="AB23">
        <f>HYPERLINK("https://klasma.github.io/Logging_1256/klagomålsmail/A 34340-2025 FSC-klagomål mail.docx", "A 34340-2025")</f>
        <v/>
      </c>
      <c r="AC23">
        <f>HYPERLINK("https://klasma.github.io/Logging_1256/tillsyn/A 34340-2025 tillsynsbegäran.docx", "A 34340-2025")</f>
        <v/>
      </c>
      <c r="AD23">
        <f>HYPERLINK("https://klasma.github.io/Logging_1256/tillsynsmail/A 34340-2025 tillsynsbegäran mail.docx", "A 34340-2025")</f>
        <v/>
      </c>
      <c r="AE23">
        <f>HYPERLINK("https://klasma.github.io/Logging_1256/fåglar/A 34340-2025 prioriterade fågelarter.docx", "A 34340-2025")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46257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46257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46257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30306-2025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46257</v>
      </c>
      <c r="F27" t="inlineStr">
        <is>
          <t>SKÅNE LÄN</t>
        </is>
      </c>
      <c r="G27" t="inlineStr">
        <is>
          <t>ÖSTRA GÖINGE</t>
        </is>
      </c>
      <c r="I27" t="n">
        <v>3.6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Dvärglin
Järnsparv</t>
        </is>
      </c>
      <c r="W27">
        <f>HYPERLINK("https://klasma.github.io/Logging_1256/artfynd/A 30306-2025 artfynd.xlsx", "A 30306-2025")</f>
        <v/>
      </c>
      <c r="X27">
        <f>HYPERLINK("https://klasma.github.io/Logging_1256/kartor/A 30306-2025 karta.png", "A 30306-2025")</f>
        <v/>
      </c>
      <c r="Y27">
        <f>HYPERLINK("https://klasma.github.io/Logging_1256/kartor_geotiff/A 30306-2025 georefererad karta.tif", "A 30306-2025")</f>
        <v/>
      </c>
      <c r="AA27">
        <f>HYPERLINK("https://klasma.github.io/Logging_1256/klagomål/A 30306-2025 FSC-klagomål.docx", "A 30306-2025")</f>
        <v/>
      </c>
      <c r="AB27">
        <f>HYPERLINK("https://klasma.github.io/Logging_1256/klagomålsmail/A 30306-2025 FSC-klagomål mail.docx", "A 30306-2025")</f>
        <v/>
      </c>
      <c r="AC27">
        <f>HYPERLINK("https://klasma.github.io/Logging_1256/tillsyn/A 30306-2025 tillsynsbegäran.docx", "A 30306-2025")</f>
        <v/>
      </c>
      <c r="AD27">
        <f>HYPERLINK("https://klasma.github.io/Logging_1256/tillsynsmail/A 30306-2025 tillsynsbegäran mail.docx", "A 30306-2025")</f>
        <v/>
      </c>
      <c r="AE27">
        <f>HYPERLINK("https://klasma.github.io/Logging_1256/fåglar/A 30306-2025 prioriterade fågelarter.docx", "A 30306-2025")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46257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46257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46257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46257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46257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26509-2025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46257</v>
      </c>
      <c r="F37" t="inlineStr">
        <is>
          <t>SKÅNE LÄN</t>
        </is>
      </c>
      <c r="G37" t="inlineStr">
        <is>
          <t>ÖSTRA GÖINGE</t>
        </is>
      </c>
      <c r="I37" t="n">
        <v>0.4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HYPERLINK("https://klasma.github.io/Logging_1256/artfynd/A 26509-2025 artfynd.xlsx", "A 26509-2025")</f>
        <v/>
      </c>
      <c r="X37">
        <f>HYPERLINK("https://klasma.github.io/Logging_1256/kartor/A 26509-2025 karta.png", "A 26509-2025")</f>
        <v/>
      </c>
      <c r="Y37">
        <f>HYPERLINK("https://klasma.github.io/Logging_1256/kartor_geotiff/A 26509-2025 georefererad karta.tif", "A 26509-2025")</f>
        <v/>
      </c>
      <c r="AA37">
        <f>HYPERLINK("https://klasma.github.io/Logging_1256/klagomål/A 26509-2025 FSC-klagomål.docx", "A 26509-2025")</f>
        <v/>
      </c>
      <c r="AB37">
        <f>HYPERLINK("https://klasma.github.io/Logging_1256/klagomålsmail/A 26509-2025 FSC-klagomål mail.docx", "A 26509-2025")</f>
        <v/>
      </c>
      <c r="AC37">
        <f>HYPERLINK("https://klasma.github.io/Logging_1256/tillsyn/A 26509-2025 tillsynsbegäran.docx", "A 26509-2025")</f>
        <v/>
      </c>
      <c r="AD37">
        <f>HYPERLINK("https://klasma.github.io/Logging_1256/tillsynsmail/A 26509-2025 tillsynsbegäran mail.docx", "A 26509-2025")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46257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46257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HYPERLINK("https://klasma.github.io/Logging_1256/artfynd/A 2695-2022 artfynd.xlsx", "A 2695-2022")</f>
        <v/>
      </c>
      <c r="X39">
        <f>HYPERLINK("https://klasma.github.io/Logging_1256/kartor/A 2695-2022 karta.png", "A 2695-2022")</f>
        <v/>
      </c>
      <c r="Y39">
        <f>HYPERLINK("https://klasma.github.io/Logging_1256/kartor_geotiff/A 2695-2022 georefererad karta.tif", "A 2695-2022")</f>
        <v/>
      </c>
      <c r="AA39">
        <f>HYPERLINK("https://klasma.github.io/Logging_1256/klagomål/A 2695-2022 FSC-klagomål.docx", "A 2695-2022")</f>
        <v/>
      </c>
      <c r="AB39">
        <f>HYPERLINK("https://klasma.github.io/Logging_1256/klagomålsmail/A 2695-2022 FSC-klagomål mail.docx", "A 2695-2022")</f>
        <v/>
      </c>
      <c r="AC39">
        <f>HYPERLINK("https://klasma.github.io/Logging_1256/tillsyn/A 2695-2022 tillsynsbegäran.docx", "A 2695-2022")</f>
        <v/>
      </c>
      <c r="AD39">
        <f>HYPERLINK("https://klasma.github.io/Logging_1256/tillsynsmail/A 2695-2022 tillsynsbegäran mail.docx", "A 2695-2022")</f>
        <v/>
      </c>
      <c r="AE39">
        <f>HYPERLINK("https://klasma.github.io/Logging_1256/fåglar/A 2695-2022 prioriterade fågelarter.docx", "A 2695-2022")</f>
        <v/>
      </c>
    </row>
    <row r="40" ht="15" customHeight="1">
      <c r="A40" t="inlineStr">
        <is>
          <t>A 4892-2023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44958</v>
      </c>
      <c r="E40" s="1" t="n">
        <v>46257</v>
      </c>
      <c r="F40" t="inlineStr">
        <is>
          <t>SKÅNE LÄN</t>
        </is>
      </c>
      <c r="G40" t="inlineStr">
        <is>
          <t>ÖSTRA GÖINGE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Gulsparv</t>
        </is>
      </c>
      <c r="W40">
        <f>HYPERLINK("https://klasma.github.io/Logging_1256/artfynd/A 4892-2023 artfynd.xlsx", "A 4892-2023")</f>
        <v/>
      </c>
      <c r="X40">
        <f>HYPERLINK("https://klasma.github.io/Logging_1256/kartor/A 4892-2023 karta.png", "A 4892-2023")</f>
        <v/>
      </c>
      <c r="Y40">
        <f>HYPERLINK("https://klasma.github.io/Logging_1256/kartor_geotiff/A 4892-2023 georefererad karta.tif", "A 4892-2023")</f>
        <v/>
      </c>
      <c r="AA40">
        <f>HYPERLINK("https://klasma.github.io/Logging_1256/klagomål/A 4892-2023 FSC-klagomål.docx", "A 4892-2023")</f>
        <v/>
      </c>
      <c r="AB40">
        <f>HYPERLINK("https://klasma.github.io/Logging_1256/klagomålsmail/A 4892-2023 FSC-klagomål mail.docx", "A 4892-2023")</f>
        <v/>
      </c>
      <c r="AC40">
        <f>HYPERLINK("https://klasma.github.io/Logging_1256/tillsyn/A 4892-2023 tillsynsbegäran.docx", "A 4892-2023")</f>
        <v/>
      </c>
      <c r="AD40">
        <f>HYPERLINK("https://klasma.github.io/Logging_1256/tillsynsmail/A 4892-2023 tillsynsbegäran mail.docx", "A 4892-2023")</f>
        <v/>
      </c>
      <c r="AE40">
        <f>HYPERLINK("https://klasma.github.io/Logging_1256/fåglar/A 4892-2023 prioriterade fågelarter.docx", "A 4892-2023")</f>
        <v/>
      </c>
    </row>
    <row r="41" ht="15" customHeight="1">
      <c r="A41" t="inlineStr">
        <is>
          <t>A 62060-2022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46257</v>
      </c>
      <c r="F41" t="inlineStr">
        <is>
          <t>SKÅNE LÄN</t>
        </is>
      </c>
      <c r="G41" t="inlineStr">
        <is>
          <t>ÖSTRA GÖINGE</t>
        </is>
      </c>
      <c r="I41" t="n">
        <v>2.7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Desmeknopp</t>
        </is>
      </c>
      <c r="W41">
        <f>HYPERLINK("https://klasma.github.io/Logging_1256/artfynd/A 62060-2022 artfynd.xlsx", "A 62060-2022")</f>
        <v/>
      </c>
      <c r="X41">
        <f>HYPERLINK("https://klasma.github.io/Logging_1256/kartor/A 62060-2022 karta.png", "A 62060-2022")</f>
        <v/>
      </c>
      <c r="Y41">
        <f>HYPERLINK("https://klasma.github.io/Logging_1256/kartor_geotiff/A 62060-2022 georefererad karta.tif", "A 62060-2022")</f>
        <v/>
      </c>
      <c r="AA41">
        <f>HYPERLINK("https://klasma.github.io/Logging_1256/klagomål/A 62060-2022 FSC-klagomål.docx", "A 62060-2022")</f>
        <v/>
      </c>
      <c r="AB41">
        <f>HYPERLINK("https://klasma.github.io/Logging_1256/klagomålsmail/A 62060-2022 FSC-klagomål mail.docx", "A 62060-2022")</f>
        <v/>
      </c>
      <c r="AC41">
        <f>HYPERLINK("https://klasma.github.io/Logging_1256/tillsyn/A 62060-2022 tillsynsbegäran.docx", "A 62060-2022")</f>
        <v/>
      </c>
      <c r="AD41">
        <f>HYPERLINK("https://klasma.github.io/Logging_1256/tillsynsmail/A 62060-2022 tillsynsbegäran mail.docx", "A 62060-2022")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46257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46257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46257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46257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46257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46257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16668-2023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46257</v>
      </c>
      <c r="F48" t="inlineStr">
        <is>
          <t>SKÅNE LÄN</t>
        </is>
      </c>
      <c r="G48" t="inlineStr">
        <is>
          <t>ÖSTRA GÖINGE</t>
        </is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hackspett</t>
        </is>
      </c>
      <c r="W48">
        <f>HYPERLINK("https://klasma.github.io/Logging_1256/artfynd/A 16668-2023 artfynd.xlsx", "A 16668-2023")</f>
        <v/>
      </c>
      <c r="X48">
        <f>HYPERLINK("https://klasma.github.io/Logging_1256/kartor/A 16668-2023 karta.png", "A 16668-2023")</f>
        <v/>
      </c>
      <c r="Y48">
        <f>HYPERLINK("https://klasma.github.io/Logging_1256/kartor_geotiff/A 16668-2023 georefererad karta.tif", "A 16668-2023")</f>
        <v/>
      </c>
      <c r="AA48">
        <f>HYPERLINK("https://klasma.github.io/Logging_1256/klagomål/A 16668-2023 FSC-klagomål.docx", "A 16668-2023")</f>
        <v/>
      </c>
      <c r="AB48">
        <f>HYPERLINK("https://klasma.github.io/Logging_1256/klagomålsmail/A 16668-2023 FSC-klagomål mail.docx", "A 16668-2023")</f>
        <v/>
      </c>
      <c r="AC48">
        <f>HYPERLINK("https://klasma.github.io/Logging_1256/tillsyn/A 16668-2023 tillsynsbegäran.docx", "A 16668-2023")</f>
        <v/>
      </c>
      <c r="AD48">
        <f>HYPERLINK("https://klasma.github.io/Logging_1256/tillsynsmail/A 16668-2023 tillsynsbegäran mail.docx", "A 16668-2023")</f>
        <v/>
      </c>
      <c r="AE48">
        <f>HYPERLINK("https://klasma.github.io/Logging_1256/fåglar/A 16668-2023 prioriterade fågelarter.docx", "A 16668-2023")</f>
        <v/>
      </c>
    </row>
    <row r="49" ht="15" customHeight="1">
      <c r="A49" t="inlineStr">
        <is>
          <t>A 40135-2022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46257</v>
      </c>
      <c r="F49" t="inlineStr">
        <is>
          <t>SKÅNE LÄN</t>
        </is>
      </c>
      <c r="G49" t="inlineStr">
        <is>
          <t>ÖSTRA GÖINGE</t>
        </is>
      </c>
      <c r="I49" t="n">
        <v>3.7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Fällmossa</t>
        </is>
      </c>
      <c r="W49">
        <f>HYPERLINK("https://klasma.github.io/Logging_1256/artfynd/A 40135-2022 artfynd.xlsx", "A 40135-2022")</f>
        <v/>
      </c>
      <c r="X49">
        <f>HYPERLINK("https://klasma.github.io/Logging_1256/kartor/A 40135-2022 karta.png", "A 40135-2022")</f>
        <v/>
      </c>
      <c r="Y49">
        <f>HYPERLINK("https://klasma.github.io/Logging_1256/kartor_geotiff/A 40135-2022 georefererad karta.tif", "A 40135-2022")</f>
        <v/>
      </c>
      <c r="AA49">
        <f>HYPERLINK("https://klasma.github.io/Logging_1256/klagomål/A 40135-2022 FSC-klagomål.docx", "A 40135-2022")</f>
        <v/>
      </c>
      <c r="AB49">
        <f>HYPERLINK("https://klasma.github.io/Logging_1256/klagomålsmail/A 40135-2022 FSC-klagomål mail.docx", "A 40135-2022")</f>
        <v/>
      </c>
      <c r="AC49">
        <f>HYPERLINK("https://klasma.github.io/Logging_1256/tillsyn/A 40135-2022 tillsynsbegäran.docx", "A 40135-2022")</f>
        <v/>
      </c>
      <c r="AD49">
        <f>HYPERLINK("https://klasma.github.io/Logging_1256/tillsynsmail/A 40135-2022 tillsynsbegäran mail.docx", "A 40135-2022")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46257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38965-2025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46257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HYPERLINK("https://klasma.github.io/Logging_1256/artfynd/A 38965-2025 artfynd.xlsx", "A 38965-2025")</f>
        <v/>
      </c>
      <c r="X51">
        <f>HYPERLINK("https://klasma.github.io/Logging_1256/kartor/A 38965-2025 karta.png", "A 38965-2025")</f>
        <v/>
      </c>
      <c r="Y51">
        <f>HYPERLINK("https://klasma.github.io/Logging_1256/kartor_geotiff/A 38965-2025 georefererad karta.tif", "A 38965-2025")</f>
        <v/>
      </c>
      <c r="AA51">
        <f>HYPERLINK("https://klasma.github.io/Logging_1256/klagomål/A 38965-2025 FSC-klagomål.docx", "A 38965-2025")</f>
        <v/>
      </c>
      <c r="AB51">
        <f>HYPERLINK("https://klasma.github.io/Logging_1256/klagomålsmail/A 38965-2025 FSC-klagomål mail.docx", "A 38965-2025")</f>
        <v/>
      </c>
      <c r="AC51">
        <f>HYPERLINK("https://klasma.github.io/Logging_1256/tillsyn/A 38965-2025 tillsynsbegäran.docx", "A 38965-2025")</f>
        <v/>
      </c>
      <c r="AD51">
        <f>HYPERLINK("https://klasma.github.io/Logging_1256/tillsynsmail/A 38965-2025 tillsynsbegäran mail.docx", "A 38965-2025")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46257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4383-2024 artfynd.xlsx", "A 4383-2024")</f>
        <v/>
      </c>
      <c r="X52">
        <f>HYPERLINK("https://klasma.github.io/Logging_1256/kartor/A 4383-2024 karta.png", "A 4383-2024")</f>
        <v/>
      </c>
      <c r="Y52">
        <f>HYPERLINK("https://klasma.github.io/Logging_1256/kartor_geotiff/A 4383-2024 georefererad karta.tif", "A 4383-2024")</f>
        <v/>
      </c>
      <c r="AA52">
        <f>HYPERLINK("https://klasma.github.io/Logging_1256/klagomål/A 4383-2024 FSC-klagomål.docx", "A 4383-2024")</f>
        <v/>
      </c>
      <c r="AB52">
        <f>HYPERLINK("https://klasma.github.io/Logging_1256/klagomålsmail/A 4383-2024 FSC-klagomål mail.docx", "A 4383-2024")</f>
        <v/>
      </c>
      <c r="AC52">
        <f>HYPERLINK("https://klasma.github.io/Logging_1256/tillsyn/A 4383-2024 tillsynsbegäran.docx", "A 4383-2024")</f>
        <v/>
      </c>
      <c r="AD52">
        <f>HYPERLINK("https://klasma.github.io/Logging_1256/tillsynsmail/A 4383-2024 tillsynsbegäran mail.docx", "A 4383-2024")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46257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46257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46257</v>
      </c>
      <c r="F55" t="inlineStr">
        <is>
          <t>SKÅNE LÄN</t>
        </is>
      </c>
      <c r="G55" t="inlineStr">
        <is>
          <t>ÖSTRA GÖINGE</t>
        </is>
      </c>
      <c r="I55" t="n">
        <v>3.1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HYPERLINK("https://klasma.github.io/Logging_1256/artfynd/A 6152-2024 artfynd.xlsx", "A 6152-2024")</f>
        <v/>
      </c>
      <c r="X55">
        <f>HYPERLINK("https://klasma.github.io/Logging_1256/kartor/A 6152-2024 karta.png", "A 6152-2024")</f>
        <v/>
      </c>
      <c r="Y55">
        <f>HYPERLINK("https://klasma.github.io/Logging_1256/kartor_geotiff/A 6152-2024 georefererad karta.tif", "A 6152-2024")</f>
        <v/>
      </c>
      <c r="AA55">
        <f>HYPERLINK("https://klasma.github.io/Logging_1256/klagomål/A 6152-2024 FSC-klagomål.docx", "A 6152-2024")</f>
        <v/>
      </c>
      <c r="AB55">
        <f>HYPERLINK("https://klasma.github.io/Logging_1256/klagomålsmail/A 6152-2024 FSC-klagomål mail.docx", "A 6152-2024")</f>
        <v/>
      </c>
      <c r="AC55">
        <f>HYPERLINK("https://klasma.github.io/Logging_1256/tillsyn/A 6152-2024 tillsynsbegäran.docx", "A 6152-2024")</f>
        <v/>
      </c>
      <c r="AD55">
        <f>HYPERLINK("https://klasma.github.io/Logging_1256/tillsynsmail/A 6152-2024 tillsynsbegäran mail.docx", "A 6152-2024")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46257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46257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46257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46257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46257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46257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46257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46257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46257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46257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46257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46257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46257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46257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46257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46257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46257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46257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46257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46257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46257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46257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46257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46257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46257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46257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46257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46257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46257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46257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46257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46257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46257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46257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46257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46257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46257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46257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46257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46257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46257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46257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18340-2024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45422</v>
      </c>
      <c r="E99" s="1" t="n">
        <v>46257</v>
      </c>
      <c r="F99" t="inlineStr">
        <is>
          <t>SKÅNE LÄN</t>
        </is>
      </c>
      <c r="G99" t="inlineStr">
        <is>
          <t>ÖSTRA GÖINGE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46257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46257</v>
      </c>
      <c r="F101" t="inlineStr">
        <is>
          <t>SKÅNE LÄN</t>
        </is>
      </c>
      <c r="G101" t="inlineStr">
        <is>
          <t>ÖSTRA GÖINGE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45245</v>
      </c>
      <c r="E102" s="1" t="n">
        <v>46257</v>
      </c>
      <c r="F102" t="inlineStr">
        <is>
          <t>SKÅNE LÄN</t>
        </is>
      </c>
      <c r="G102" t="inlineStr">
        <is>
          <t>ÖSTRA GÖINGE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71741-2021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46257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46257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46257</v>
      </c>
      <c r="F105" t="inlineStr">
        <is>
          <t>SKÅNE LÄN</t>
        </is>
      </c>
      <c r="G105" t="inlineStr">
        <is>
          <t>ÖSTRA GÖINGE</t>
        </is>
      </c>
      <c r="H105" t="inlineStr">
        <is>
          <t>Kyrkan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44914</v>
      </c>
      <c r="E106" s="1" t="n">
        <v>46257</v>
      </c>
      <c r="F106" t="inlineStr">
        <is>
          <t>SKÅNE LÄN</t>
        </is>
      </c>
      <c r="G106" t="inlineStr">
        <is>
          <t>ÖSTRA GÖINGE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46257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46279-2024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45581</v>
      </c>
      <c r="E108" s="1" t="n">
        <v>46257</v>
      </c>
      <c r="F108" t="inlineStr">
        <is>
          <t>SKÅNE LÄN</t>
        </is>
      </c>
      <c r="G108" t="inlineStr">
        <is>
          <t>ÖSTRA GÖINGE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46257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44727</v>
      </c>
      <c r="E110" s="1" t="n">
        <v>46257</v>
      </c>
      <c r="F110" t="inlineStr">
        <is>
          <t>SKÅNE LÄN</t>
        </is>
      </c>
      <c r="G110" t="inlineStr">
        <is>
          <t>ÖSTRA GÖINGE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20622-2022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44700</v>
      </c>
      <c r="E111" s="1" t="n">
        <v>46257</v>
      </c>
      <c r="F111" t="inlineStr">
        <is>
          <t>SKÅNE LÄN</t>
        </is>
      </c>
      <c r="G111" t="inlineStr">
        <is>
          <t>ÖSTRA GÖINGE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46257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46257</v>
      </c>
      <c r="F113" t="inlineStr">
        <is>
          <t>SKÅNE LÄN</t>
        </is>
      </c>
      <c r="G113" t="inlineStr">
        <is>
          <t>ÖSTRA GÖINGE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45331</v>
      </c>
      <c r="E114" s="1" t="n">
        <v>46257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46257</v>
      </c>
      <c r="F115" t="inlineStr">
        <is>
          <t>SKÅNE LÄN</t>
        </is>
      </c>
      <c r="G115" t="inlineStr">
        <is>
          <t>ÖSTRA GÖINGE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46257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46257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44929</v>
      </c>
      <c r="E118" s="1" t="n">
        <v>46257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74094-2021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44557</v>
      </c>
      <c r="E119" s="1" t="n">
        <v>46257</v>
      </c>
      <c r="F119" t="inlineStr">
        <is>
          <t>SKÅNE LÄN</t>
        </is>
      </c>
      <c r="G119" t="inlineStr">
        <is>
          <t>ÖSTRA GÖINGE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45082</v>
      </c>
      <c r="E120" s="1" t="n">
        <v>46257</v>
      </c>
      <c r="F120" t="inlineStr">
        <is>
          <t>SKÅNE LÄN</t>
        </is>
      </c>
      <c r="G120" t="inlineStr">
        <is>
          <t>ÖSTRA GÖINGE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46257</v>
      </c>
      <c r="F121" t="inlineStr">
        <is>
          <t>SKÅNE LÄN</t>
        </is>
      </c>
      <c r="G121" t="inlineStr">
        <is>
          <t>ÖSTRA GÖINGE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46257</v>
      </c>
      <c r="F122" t="inlineStr">
        <is>
          <t>SKÅNE LÄN</t>
        </is>
      </c>
      <c r="G122" t="inlineStr">
        <is>
          <t>ÖSTRA GÖINGE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46257</v>
      </c>
      <c r="F123" t="inlineStr">
        <is>
          <t>SKÅNE LÄN</t>
        </is>
      </c>
      <c r="G123" t="inlineStr">
        <is>
          <t>ÖSTRA GÖINGE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46257</v>
      </c>
      <c r="F124" t="inlineStr">
        <is>
          <t>SKÅNE LÄN</t>
        </is>
      </c>
      <c r="G124" t="inlineStr">
        <is>
          <t>ÖSTRA GÖINGE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46257</v>
      </c>
      <c r="F125" t="inlineStr">
        <is>
          <t>SKÅNE LÄN</t>
        </is>
      </c>
      <c r="G125" t="inlineStr">
        <is>
          <t>ÖSTRA GÖINGE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46257</v>
      </c>
      <c r="F126" t="inlineStr">
        <is>
          <t>SKÅNE LÄN</t>
        </is>
      </c>
      <c r="G126" t="inlineStr">
        <is>
          <t>ÖSTRA GÖINGE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69375-2021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46257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69393-2021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46257</v>
      </c>
      <c r="F128" t="inlineStr">
        <is>
          <t>SKÅNE LÄN</t>
        </is>
      </c>
      <c r="G128" t="inlineStr">
        <is>
          <t>ÖSTRA GÖINGE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46257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46257</v>
      </c>
      <c r="F130" t="inlineStr">
        <is>
          <t>SKÅNE LÄN</t>
        </is>
      </c>
      <c r="G130" t="inlineStr">
        <is>
          <t>ÖSTRA GÖINGE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46257</v>
      </c>
      <c r="F131" t="inlineStr">
        <is>
          <t>SKÅNE LÄN</t>
        </is>
      </c>
      <c r="G131" t="inlineStr">
        <is>
          <t>ÖSTRA GÖINGE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45410</v>
      </c>
      <c r="E132" s="1" t="n">
        <v>46257</v>
      </c>
      <c r="F132" t="inlineStr">
        <is>
          <t>SKÅNE LÄN</t>
        </is>
      </c>
      <c r="G132" t="inlineStr">
        <is>
          <t>ÖSTRA GÖINGE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45896</v>
      </c>
      <c r="E133" s="1" t="n">
        <v>46257</v>
      </c>
      <c r="F133" t="inlineStr">
        <is>
          <t>SKÅNE LÄN</t>
        </is>
      </c>
      <c r="G133" t="inlineStr">
        <is>
          <t>ÖSTRA GÖINGE</t>
        </is>
      </c>
      <c r="H133" t="inlineStr">
        <is>
          <t>Kyrkan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46257</v>
      </c>
      <c r="F134" t="inlineStr">
        <is>
          <t>SKÅNE LÄN</t>
        </is>
      </c>
      <c r="G134" t="inlineStr">
        <is>
          <t>ÖSTRA GÖINGE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45142</v>
      </c>
      <c r="E135" s="1" t="n">
        <v>46257</v>
      </c>
      <c r="F135" t="inlineStr">
        <is>
          <t>SKÅNE LÄN</t>
        </is>
      </c>
      <c r="G135" t="inlineStr">
        <is>
          <t>ÖSTRA GÖINGE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45021</v>
      </c>
      <c r="E136" s="1" t="n">
        <v>46257</v>
      </c>
      <c r="F136" t="inlineStr">
        <is>
          <t>SKÅNE LÄN</t>
        </is>
      </c>
      <c r="G136" t="inlineStr">
        <is>
          <t>ÖSTRA GÖINGE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46257</v>
      </c>
      <c r="F137" t="inlineStr">
        <is>
          <t>SKÅNE LÄN</t>
        </is>
      </c>
      <c r="G137" t="inlineStr">
        <is>
          <t>ÖSTRA GÖINGE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45176</v>
      </c>
      <c r="E138" s="1" t="n">
        <v>46257</v>
      </c>
      <c r="F138" t="inlineStr">
        <is>
          <t>SKÅNE LÄN</t>
        </is>
      </c>
      <c r="G138" t="inlineStr">
        <is>
          <t>ÖSTRA GÖINGE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46257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45082</v>
      </c>
      <c r="E140" s="1" t="n">
        <v>46257</v>
      </c>
      <c r="F140" t="inlineStr">
        <is>
          <t>SKÅNE LÄN</t>
        </is>
      </c>
      <c r="G140" t="inlineStr">
        <is>
          <t>ÖSTRA GÖINGE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46257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45635</v>
      </c>
      <c r="E142" s="1" t="n">
        <v>46257</v>
      </c>
      <c r="F142" t="inlineStr">
        <is>
          <t>SKÅNE LÄN</t>
        </is>
      </c>
      <c r="G142" t="inlineStr">
        <is>
          <t>ÖSTRA GÖINGE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46257</v>
      </c>
      <c r="F143" t="inlineStr">
        <is>
          <t>SKÅNE LÄN</t>
        </is>
      </c>
      <c r="G143" t="inlineStr">
        <is>
          <t>ÖSTRA GÖINGE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46257</v>
      </c>
      <c r="F144" t="inlineStr">
        <is>
          <t>SKÅNE LÄN</t>
        </is>
      </c>
      <c r="G144" t="inlineStr">
        <is>
          <t>ÖSTRA GÖINGE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46257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45172</v>
      </c>
      <c r="E146" s="1" t="n">
        <v>46257</v>
      </c>
      <c r="F146" t="inlineStr">
        <is>
          <t>SKÅNE LÄN</t>
        </is>
      </c>
      <c r="G146" t="inlineStr">
        <is>
          <t>ÖSTRA GÖINGE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69384-2021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44531</v>
      </c>
      <c r="E147" s="1" t="n">
        <v>46257</v>
      </c>
      <c r="F147" t="inlineStr">
        <is>
          <t>SKÅNE LÄN</t>
        </is>
      </c>
      <c r="G147" t="inlineStr">
        <is>
          <t>ÖSTRA GÖINGE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46257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45029</v>
      </c>
      <c r="E149" s="1" t="n">
        <v>46257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45834</v>
      </c>
      <c r="E150" s="1" t="n">
        <v>46257</v>
      </c>
      <c r="F150" t="inlineStr">
        <is>
          <t>SKÅNE LÄN</t>
        </is>
      </c>
      <c r="G150" t="inlineStr">
        <is>
          <t>ÖSTRA GÖINGE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46257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45307</v>
      </c>
      <c r="E152" s="1" t="n">
        <v>46257</v>
      </c>
      <c r="F152" t="inlineStr">
        <is>
          <t>SKÅNE LÄN</t>
        </is>
      </c>
      <c r="G152" t="inlineStr">
        <is>
          <t>ÖSTRA GÖINGE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34931-2023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45142</v>
      </c>
      <c r="E153" s="1" t="n">
        <v>46257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24028-2022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44723</v>
      </c>
      <c r="E154" s="1" t="n">
        <v>46257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46257</v>
      </c>
      <c r="F155" t="inlineStr">
        <is>
          <t>SKÅNE LÄN</t>
        </is>
      </c>
      <c r="G155" t="inlineStr">
        <is>
          <t>ÖSTRA GÖINGE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46257</v>
      </c>
      <c r="F156" t="inlineStr">
        <is>
          <t>SKÅNE LÄN</t>
        </is>
      </c>
      <c r="G156" t="inlineStr">
        <is>
          <t>ÖSTRA GÖINGE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46257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46257</v>
      </c>
      <c r="F158" t="inlineStr">
        <is>
          <t>SKÅNE LÄN</t>
        </is>
      </c>
      <c r="G158" t="inlineStr">
        <is>
          <t>ÖSTRA GÖINGE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46257</v>
      </c>
      <c r="F159" t="inlineStr">
        <is>
          <t>SKÅNE LÄN</t>
        </is>
      </c>
      <c r="G159" t="inlineStr">
        <is>
          <t>ÖSTRA GÖINGE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46257</v>
      </c>
      <c r="F160" t="inlineStr">
        <is>
          <t>SKÅNE LÄN</t>
        </is>
      </c>
      <c r="G160" t="inlineStr">
        <is>
          <t>ÖSTRA GÖINGE</t>
        </is>
      </c>
      <c r="I160" t="n">
        <v>10.4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46257</v>
      </c>
      <c r="F161" t="inlineStr">
        <is>
          <t>SKÅNE LÄN</t>
        </is>
      </c>
      <c r="G161" t="inlineStr">
        <is>
          <t>ÖSTRA GÖINGE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46257</v>
      </c>
      <c r="F162" t="inlineStr">
        <is>
          <t>SKÅNE LÄN</t>
        </is>
      </c>
      <c r="G162" t="inlineStr">
        <is>
          <t>ÖSTRA GÖINGE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46257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46257</v>
      </c>
      <c r="F164" t="inlineStr">
        <is>
          <t>SKÅNE LÄN</t>
        </is>
      </c>
      <c r="G164" t="inlineStr">
        <is>
          <t>ÖSTRA GÖINGE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46257</v>
      </c>
      <c r="F165" t="inlineStr">
        <is>
          <t>SKÅNE LÄN</t>
        </is>
      </c>
      <c r="G165" t="inlineStr">
        <is>
          <t>ÖSTRA GÖINGE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46257</v>
      </c>
      <c r="F166" t="inlineStr">
        <is>
          <t>SKÅNE LÄN</t>
        </is>
      </c>
      <c r="G166" t="inlineStr">
        <is>
          <t>ÖSTRA GÖINGE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44466</v>
      </c>
      <c r="E167" s="1" t="n">
        <v>46257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46257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46257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44606</v>
      </c>
      <c r="E170" s="1" t="n">
        <v>46257</v>
      </c>
      <c r="F170" t="inlineStr">
        <is>
          <t>SKÅNE LÄN</t>
        </is>
      </c>
      <c r="G170" t="inlineStr">
        <is>
          <t>ÖSTRA GÖINGE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46257</v>
      </c>
      <c r="F171" t="inlineStr">
        <is>
          <t>SKÅNE LÄN</t>
        </is>
      </c>
      <c r="G171" t="inlineStr">
        <is>
          <t>ÖSTRA GÖINGE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46257</v>
      </c>
      <c r="F172" t="inlineStr">
        <is>
          <t>SKÅNE LÄN</t>
        </is>
      </c>
      <c r="G172" t="inlineStr">
        <is>
          <t>ÖSTRA GÖINGE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46257</v>
      </c>
      <c r="F173" t="inlineStr">
        <is>
          <t>SKÅNE LÄN</t>
        </is>
      </c>
      <c r="G173" t="inlineStr">
        <is>
          <t>ÖSTRA GÖINGE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46257</v>
      </c>
      <c r="F174" t="inlineStr">
        <is>
          <t>SKÅNE LÄN</t>
        </is>
      </c>
      <c r="G174" t="inlineStr">
        <is>
          <t>ÖSTRA GÖINGE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45139</v>
      </c>
      <c r="E175" s="1" t="n">
        <v>46257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46257</v>
      </c>
      <c r="F176" t="inlineStr">
        <is>
          <t>SKÅNE LÄN</t>
        </is>
      </c>
      <c r="G176" t="inlineStr">
        <is>
          <t>ÖSTRA GÖINGE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46257</v>
      </c>
      <c r="F177" t="inlineStr">
        <is>
          <t>SKÅNE LÄN</t>
        </is>
      </c>
      <c r="G177" t="inlineStr">
        <is>
          <t>ÖSTRA GÖINGE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45935</v>
      </c>
      <c r="E178" s="1" t="n">
        <v>46257</v>
      </c>
      <c r="F178" t="inlineStr">
        <is>
          <t>SKÅNE LÄN</t>
        </is>
      </c>
      <c r="G178" t="inlineStr">
        <is>
          <t>ÖSTRA GÖINGE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46257</v>
      </c>
      <c r="F179" t="inlineStr">
        <is>
          <t>SKÅNE LÄN</t>
        </is>
      </c>
      <c r="G179" t="inlineStr">
        <is>
          <t>ÖSTRA GÖINGE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46257</v>
      </c>
      <c r="F180" t="inlineStr">
        <is>
          <t>SKÅNE LÄN</t>
        </is>
      </c>
      <c r="G180" t="inlineStr">
        <is>
          <t>ÖSTRA GÖINGE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69383-2021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46257</v>
      </c>
      <c r="F181" t="inlineStr">
        <is>
          <t>SKÅNE LÄN</t>
        </is>
      </c>
      <c r="G181" t="inlineStr">
        <is>
          <t>ÖSTRA GÖINGE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69390-2021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46257</v>
      </c>
      <c r="F182" t="inlineStr">
        <is>
          <t>SKÅNE LÄN</t>
        </is>
      </c>
      <c r="G182" t="inlineStr">
        <is>
          <t>ÖSTRA GÖINGE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44918</v>
      </c>
      <c r="E183" s="1" t="n">
        <v>46257</v>
      </c>
      <c r="F183" t="inlineStr">
        <is>
          <t>SKÅNE LÄN</t>
        </is>
      </c>
      <c r="G183" t="inlineStr">
        <is>
          <t>ÖSTRA GÖINGE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46257</v>
      </c>
      <c r="F184" t="inlineStr">
        <is>
          <t>SKÅNE LÄN</t>
        </is>
      </c>
      <c r="G184" t="inlineStr">
        <is>
          <t>ÖSTRA GÖINGE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46257</v>
      </c>
      <c r="F185" t="inlineStr">
        <is>
          <t>SKÅNE LÄN</t>
        </is>
      </c>
      <c r="G185" t="inlineStr">
        <is>
          <t>ÖSTRA GÖINGE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44949</v>
      </c>
      <c r="E186" s="1" t="n">
        <v>46257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64181-2023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45279</v>
      </c>
      <c r="E187" s="1" t="n">
        <v>46257</v>
      </c>
      <c r="F187" t="inlineStr">
        <is>
          <t>SKÅNE LÄN</t>
        </is>
      </c>
      <c r="G187" t="inlineStr">
        <is>
          <t>ÖSTRA GÖINGE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46257</v>
      </c>
      <c r="F188" t="inlineStr">
        <is>
          <t>SKÅNE LÄN</t>
        </is>
      </c>
      <c r="G188" t="inlineStr">
        <is>
          <t>ÖSTRA GÖINGE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46257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46257</v>
      </c>
      <c r="F190" t="inlineStr">
        <is>
          <t>SKÅNE LÄN</t>
        </is>
      </c>
      <c r="G190" t="inlineStr">
        <is>
          <t>ÖSTRA GÖINGE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45727</v>
      </c>
      <c r="E191" s="1" t="n">
        <v>46257</v>
      </c>
      <c r="F191" t="inlineStr">
        <is>
          <t>SKÅNE LÄN</t>
        </is>
      </c>
      <c r="G191" t="inlineStr">
        <is>
          <t>ÖSTRA GÖINGE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46257</v>
      </c>
      <c r="F192" t="inlineStr">
        <is>
          <t>SKÅNE LÄN</t>
        </is>
      </c>
      <c r="G192" t="inlineStr">
        <is>
          <t>ÖSTRA GÖINGE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46257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46257</v>
      </c>
      <c r="F194" t="inlineStr">
        <is>
          <t>SKÅNE LÄN</t>
        </is>
      </c>
      <c r="G194" t="inlineStr">
        <is>
          <t>ÖSTRA GÖINGE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44935</v>
      </c>
      <c r="E195" s="1" t="n">
        <v>46257</v>
      </c>
      <c r="F195" t="inlineStr">
        <is>
          <t>SKÅNE LÄN</t>
        </is>
      </c>
      <c r="G195" t="inlineStr">
        <is>
          <t>ÖSTRA GÖINGE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46257</v>
      </c>
      <c r="F196" t="inlineStr">
        <is>
          <t>SKÅNE LÄN</t>
        </is>
      </c>
      <c r="G196" t="inlineStr">
        <is>
          <t>ÖSTRA GÖINGE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46257</v>
      </c>
      <c r="F197" t="inlineStr">
        <is>
          <t>SKÅNE LÄN</t>
        </is>
      </c>
      <c r="G197" t="inlineStr">
        <is>
          <t>ÖSTRA GÖINGE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46257</v>
      </c>
      <c r="F198" t="inlineStr">
        <is>
          <t>SKÅNE LÄN</t>
        </is>
      </c>
      <c r="G198" t="inlineStr">
        <is>
          <t>ÖSTRA GÖINGE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46257</v>
      </c>
      <c r="F199" t="inlineStr">
        <is>
          <t>SKÅNE LÄN</t>
        </is>
      </c>
      <c r="G199" t="inlineStr">
        <is>
          <t>ÖSTRA GÖINGE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45239</v>
      </c>
      <c r="E200" s="1" t="n">
        <v>46257</v>
      </c>
      <c r="F200" t="inlineStr">
        <is>
          <t>SKÅNE LÄN</t>
        </is>
      </c>
      <c r="G200" t="inlineStr">
        <is>
          <t>ÖSTRA GÖINGE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46257</v>
      </c>
      <c r="F201" t="inlineStr">
        <is>
          <t>SKÅNE LÄN</t>
        </is>
      </c>
      <c r="G201" t="inlineStr">
        <is>
          <t>ÖSTRA GÖINGE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46257</v>
      </c>
      <c r="F202" t="inlineStr">
        <is>
          <t>SKÅNE LÄN</t>
        </is>
      </c>
      <c r="G202" t="inlineStr">
        <is>
          <t>ÖSTRA GÖINGE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46257</v>
      </c>
      <c r="F203" t="inlineStr">
        <is>
          <t>SKÅNE LÄN</t>
        </is>
      </c>
      <c r="G203" t="inlineStr">
        <is>
          <t>ÖSTRA GÖINGE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46257</v>
      </c>
      <c r="F204" t="inlineStr">
        <is>
          <t>SKÅNE LÄN</t>
        </is>
      </c>
      <c r="G204" t="inlineStr">
        <is>
          <t>ÖSTRA GÖINGE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44873</v>
      </c>
      <c r="E205" s="1" t="n">
        <v>46257</v>
      </c>
      <c r="F205" t="inlineStr">
        <is>
          <t>SKÅNE LÄN</t>
        </is>
      </c>
      <c r="G205" t="inlineStr">
        <is>
          <t>ÖSTRA GÖINGE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46257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46257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46257</v>
      </c>
      <c r="F208" t="inlineStr">
        <is>
          <t>SKÅNE LÄN</t>
        </is>
      </c>
      <c r="G208" t="inlineStr">
        <is>
          <t>ÖSTRA GÖINGE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46257</v>
      </c>
      <c r="F209" t="inlineStr">
        <is>
          <t>SKÅNE LÄN</t>
        </is>
      </c>
      <c r="G209" t="inlineStr">
        <is>
          <t>ÖSTRA GÖINGE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46257</v>
      </c>
      <c r="F210" t="inlineStr">
        <is>
          <t>SKÅNE LÄN</t>
        </is>
      </c>
      <c r="G210" t="inlineStr">
        <is>
          <t>ÖSTRA GÖINGE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46257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46257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45408</v>
      </c>
      <c r="E213" s="1" t="n">
        <v>46257</v>
      </c>
      <c r="F213" t="inlineStr">
        <is>
          <t>SKÅNE LÄN</t>
        </is>
      </c>
      <c r="G213" t="inlineStr">
        <is>
          <t>ÖSTRA GÖINGE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45408</v>
      </c>
      <c r="E214" s="1" t="n">
        <v>46257</v>
      </c>
      <c r="F214" t="inlineStr">
        <is>
          <t>SKÅNE LÄN</t>
        </is>
      </c>
      <c r="G214" t="inlineStr">
        <is>
          <t>ÖSTRA GÖINGE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46257</v>
      </c>
      <c r="F215" t="inlineStr">
        <is>
          <t>SKÅNE LÄN</t>
        </is>
      </c>
      <c r="G215" t="inlineStr">
        <is>
          <t>ÖSTRA GÖINGE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46257</v>
      </c>
      <c r="F216" t="inlineStr">
        <is>
          <t>SKÅNE LÄN</t>
        </is>
      </c>
      <c r="G216" t="inlineStr">
        <is>
          <t>ÖSTRA GÖINGE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46257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46257</v>
      </c>
      <c r="F218" t="inlineStr">
        <is>
          <t>SKÅNE LÄN</t>
        </is>
      </c>
      <c r="G218" t="inlineStr">
        <is>
          <t>ÖSTRA GÖINGE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46257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46257</v>
      </c>
      <c r="F220" t="inlineStr">
        <is>
          <t>SKÅNE LÄN</t>
        </is>
      </c>
      <c r="G220" t="inlineStr">
        <is>
          <t>ÖSTRA GÖINGE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50922-2021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44459</v>
      </c>
      <c r="E221" s="1" t="n">
        <v>46257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46257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46257</v>
      </c>
      <c r="F223" t="inlineStr">
        <is>
          <t>SKÅNE LÄN</t>
        </is>
      </c>
      <c r="G223" t="inlineStr">
        <is>
          <t>ÖSTRA GÖINGE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46257</v>
      </c>
      <c r="F224" t="inlineStr">
        <is>
          <t>SKÅNE LÄN</t>
        </is>
      </c>
      <c r="G224" t="inlineStr">
        <is>
          <t>ÖSTRA GÖINGE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46257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46257</v>
      </c>
      <c r="F226" t="inlineStr">
        <is>
          <t>SKÅNE LÄN</t>
        </is>
      </c>
      <c r="G226" t="inlineStr">
        <is>
          <t>ÖSTRA GÖINGE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44937</v>
      </c>
      <c r="E227" s="1" t="n">
        <v>46257</v>
      </c>
      <c r="F227" t="inlineStr">
        <is>
          <t>SKÅNE LÄN</t>
        </is>
      </c>
      <c r="G227" t="inlineStr">
        <is>
          <t>ÖSTRA GÖINGE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66526-2021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44519</v>
      </c>
      <c r="E228" s="1" t="n">
        <v>46257</v>
      </c>
      <c r="F228" t="inlineStr">
        <is>
          <t>SKÅNE LÄN</t>
        </is>
      </c>
      <c r="G228" t="inlineStr">
        <is>
          <t>ÖSTRA GÖINGE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46257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44929</v>
      </c>
      <c r="E230" s="1" t="n">
        <v>46257</v>
      </c>
      <c r="F230" t="inlineStr">
        <is>
          <t>SKÅNE LÄN</t>
        </is>
      </c>
      <c r="G230" t="inlineStr">
        <is>
          <t>ÖSTRA GÖINGE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46257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46257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46257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46257</v>
      </c>
      <c r="F234" t="inlineStr">
        <is>
          <t>SKÅNE LÄN</t>
        </is>
      </c>
      <c r="G234" t="inlineStr">
        <is>
          <t>ÖSTRA GÖINGE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44886</v>
      </c>
      <c r="E235" s="1" t="n">
        <v>46257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46257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11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46257</v>
      </c>
      <c r="F237" t="inlineStr">
        <is>
          <t>SKÅNE LÄN</t>
        </is>
      </c>
      <c r="G237" t="inlineStr">
        <is>
          <t>ÖSTRA GÖINGE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44686</v>
      </c>
      <c r="E238" s="1" t="n">
        <v>46257</v>
      </c>
      <c r="F238" t="inlineStr">
        <is>
          <t>SKÅNE LÄN</t>
        </is>
      </c>
      <c r="G238" t="inlineStr">
        <is>
          <t>ÖSTRA GÖINGE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46257</v>
      </c>
      <c r="F239" t="inlineStr">
        <is>
          <t>SKÅNE LÄN</t>
        </is>
      </c>
      <c r="G239" t="inlineStr">
        <is>
          <t>ÖSTRA GÖINGE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46257</v>
      </c>
      <c r="F240" t="inlineStr">
        <is>
          <t>SKÅNE LÄN</t>
        </is>
      </c>
      <c r="G240" t="inlineStr">
        <is>
          <t>ÖSTRA GÖINGE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46257</v>
      </c>
      <c r="F241" t="inlineStr">
        <is>
          <t>SKÅNE LÄN</t>
        </is>
      </c>
      <c r="G241" t="inlineStr">
        <is>
          <t>ÖSTRA GÖINGE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46257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46257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45278</v>
      </c>
      <c r="E244" s="1" t="n">
        <v>46257</v>
      </c>
      <c r="F244" t="inlineStr">
        <is>
          <t>SKÅNE LÄN</t>
        </is>
      </c>
      <c r="G244" t="inlineStr">
        <is>
          <t>ÖSTRA GÖINGE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42192-2023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45179</v>
      </c>
      <c r="E245" s="1" t="n">
        <v>46257</v>
      </c>
      <c r="F245" t="inlineStr">
        <is>
          <t>SKÅNE LÄN</t>
        </is>
      </c>
      <c r="G245" t="inlineStr">
        <is>
          <t>ÖSTRA GÖINGE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46257</v>
      </c>
      <c r="F246" t="inlineStr">
        <is>
          <t>SKÅNE LÄN</t>
        </is>
      </c>
      <c r="G246" t="inlineStr">
        <is>
          <t>ÖSTRA GÖINGE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46257</v>
      </c>
      <c r="F247" t="inlineStr">
        <is>
          <t>SKÅNE LÄN</t>
        </is>
      </c>
      <c r="G247" t="inlineStr">
        <is>
          <t>ÖSTRA GÖINGE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46257</v>
      </c>
      <c r="F248" t="inlineStr">
        <is>
          <t>SKÅNE LÄN</t>
        </is>
      </c>
      <c r="G248" t="inlineStr">
        <is>
          <t>ÖSTRA GÖINGE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46257</v>
      </c>
      <c r="F249" t="inlineStr">
        <is>
          <t>SKÅNE LÄN</t>
        </is>
      </c>
      <c r="G249" t="inlineStr">
        <is>
          <t>ÖSTRA GÖINGE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46257</v>
      </c>
      <c r="F250" t="inlineStr">
        <is>
          <t>SKÅNE LÄN</t>
        </is>
      </c>
      <c r="G250" t="inlineStr">
        <is>
          <t>ÖSTRA GÖINGE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46257</v>
      </c>
      <c r="F251" t="inlineStr">
        <is>
          <t>SKÅNE LÄN</t>
        </is>
      </c>
      <c r="G251" t="inlineStr">
        <is>
          <t>ÖSTRA GÖINGE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60251-2022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44910</v>
      </c>
      <c r="E252" s="1" t="n">
        <v>46257</v>
      </c>
      <c r="F252" t="inlineStr">
        <is>
          <t>SKÅNE LÄN</t>
        </is>
      </c>
      <c r="G252" t="inlineStr">
        <is>
          <t>ÖSTRA GÖINGE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36324-2022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44803</v>
      </c>
      <c r="E253" s="1" t="n">
        <v>46257</v>
      </c>
      <c r="F253" t="inlineStr">
        <is>
          <t>SKÅNE LÄN</t>
        </is>
      </c>
      <c r="G253" t="inlineStr">
        <is>
          <t>ÖSTRA GÖINGE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46257</v>
      </c>
      <c r="F254" t="inlineStr">
        <is>
          <t>SKÅNE LÄN</t>
        </is>
      </c>
      <c r="G254" t="inlineStr">
        <is>
          <t>ÖSTRA GÖINGE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44915</v>
      </c>
      <c r="E255" s="1" t="n">
        <v>46257</v>
      </c>
      <c r="F255" t="inlineStr">
        <is>
          <t>SKÅNE LÄN</t>
        </is>
      </c>
      <c r="G255" t="inlineStr">
        <is>
          <t>ÖSTRA GÖINGE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57529-2022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46257</v>
      </c>
      <c r="F256" t="inlineStr">
        <is>
          <t>SKÅNE LÄN</t>
        </is>
      </c>
      <c r="G256" t="inlineStr">
        <is>
          <t>ÖSTRA GÖINGE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46257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45568</v>
      </c>
      <c r="E258" s="1" t="n">
        <v>46257</v>
      </c>
      <c r="F258" t="inlineStr">
        <is>
          <t>SKÅNE LÄN</t>
        </is>
      </c>
      <c r="G258" t="inlineStr">
        <is>
          <t>ÖSTRA GÖINGE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46257</v>
      </c>
      <c r="F259" t="inlineStr">
        <is>
          <t>SKÅNE LÄN</t>
        </is>
      </c>
      <c r="G259" t="inlineStr">
        <is>
          <t>ÖSTRA GÖINGE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44826</v>
      </c>
      <c r="E260" s="1" t="n">
        <v>46257</v>
      </c>
      <c r="F260" t="inlineStr">
        <is>
          <t>SKÅNE LÄN</t>
        </is>
      </c>
      <c r="G260" t="inlineStr">
        <is>
          <t>ÖSTRA GÖINGE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37056-2024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46257</v>
      </c>
      <c r="F261" t="inlineStr">
        <is>
          <t>SKÅNE LÄN</t>
        </is>
      </c>
      <c r="G261" t="inlineStr">
        <is>
          <t>ÖSTRA GÖINGE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45141</v>
      </c>
      <c r="E262" s="1" t="n">
        <v>46257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46257</v>
      </c>
      <c r="F263" t="inlineStr">
        <is>
          <t>SKÅNE LÄN</t>
        </is>
      </c>
      <c r="G263" t="inlineStr">
        <is>
          <t>ÖSTRA GÖINGE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59355-2024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46257</v>
      </c>
      <c r="F264" t="inlineStr">
        <is>
          <t>SKÅNE LÄN</t>
        </is>
      </c>
      <c r="G264" t="inlineStr">
        <is>
          <t>ÖSTRA GÖINGE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45321</v>
      </c>
      <c r="E265" s="1" t="n">
        <v>46257</v>
      </c>
      <c r="F265" t="inlineStr">
        <is>
          <t>SKÅNE LÄN</t>
        </is>
      </c>
      <c r="G265" t="inlineStr">
        <is>
          <t>ÖSTRA GÖINGE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46257</v>
      </c>
      <c r="F266" t="inlineStr">
        <is>
          <t>SKÅNE LÄN</t>
        </is>
      </c>
      <c r="G266" t="inlineStr">
        <is>
          <t>ÖSTRA GÖINGE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46257</v>
      </c>
      <c r="F267" t="inlineStr">
        <is>
          <t>SKÅNE LÄN</t>
        </is>
      </c>
      <c r="G267" t="inlineStr">
        <is>
          <t>ÖSTRA GÖINGE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46257</v>
      </c>
      <c r="F268" t="inlineStr">
        <is>
          <t>SKÅNE LÄN</t>
        </is>
      </c>
      <c r="G268" t="inlineStr">
        <is>
          <t>ÖSTRA GÖINGE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45227</v>
      </c>
      <c r="E269" s="1" t="n">
        <v>46257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46257</v>
      </c>
      <c r="F270" t="inlineStr">
        <is>
          <t>SKÅNE LÄN</t>
        </is>
      </c>
      <c r="G270" t="inlineStr">
        <is>
          <t>ÖSTRA GÖINGE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46257</v>
      </c>
      <c r="F271" t="inlineStr">
        <is>
          <t>SKÅNE LÄN</t>
        </is>
      </c>
      <c r="G271" t="inlineStr">
        <is>
          <t>ÖSTRA GÖINGE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45320</v>
      </c>
      <c r="E272" s="1" t="n">
        <v>46257</v>
      </c>
      <c r="F272" t="inlineStr">
        <is>
          <t>SKÅNE LÄN</t>
        </is>
      </c>
      <c r="G272" t="inlineStr">
        <is>
          <t>ÖSTRA GÖINGE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46257</v>
      </c>
      <c r="F273" t="inlineStr">
        <is>
          <t>SKÅNE LÄN</t>
        </is>
      </c>
      <c r="G273" t="inlineStr">
        <is>
          <t>ÖSTRA GÖINGE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46257</v>
      </c>
      <c r="F274" t="inlineStr">
        <is>
          <t>SKÅNE LÄN</t>
        </is>
      </c>
      <c r="G274" t="inlineStr">
        <is>
          <t>ÖSTRA GÖINGE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46257</v>
      </c>
      <c r="F275" t="inlineStr">
        <is>
          <t>SKÅNE LÄN</t>
        </is>
      </c>
      <c r="G275" t="inlineStr">
        <is>
          <t>ÖSTRA GÖINGE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45015</v>
      </c>
      <c r="E276" s="1" t="n">
        <v>46257</v>
      </c>
      <c r="F276" t="inlineStr">
        <is>
          <t>SKÅNE LÄN</t>
        </is>
      </c>
      <c r="G276" t="inlineStr">
        <is>
          <t>ÖSTRA GÖINGE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74142-2021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44557</v>
      </c>
      <c r="E277" s="1" t="n">
        <v>46257</v>
      </c>
      <c r="F277" t="inlineStr">
        <is>
          <t>SKÅNE LÄN</t>
        </is>
      </c>
      <c r="G277" t="inlineStr">
        <is>
          <t>ÖSTRA GÖINGE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46257</v>
      </c>
      <c r="F278" t="inlineStr">
        <is>
          <t>SKÅNE LÄN</t>
        </is>
      </c>
      <c r="G278" t="inlineStr">
        <is>
          <t>ÖSTRA GÖINGE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46257</v>
      </c>
      <c r="F279" t="inlineStr">
        <is>
          <t>SKÅNE LÄN</t>
        </is>
      </c>
      <c r="G279" t="inlineStr">
        <is>
          <t>ÖSTRA GÖINGE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46257</v>
      </c>
      <c r="F280" t="inlineStr">
        <is>
          <t>SKÅNE LÄN</t>
        </is>
      </c>
      <c r="G280" t="inlineStr">
        <is>
          <t>ÖSTRA GÖINGE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46257</v>
      </c>
      <c r="F281" t="inlineStr">
        <is>
          <t>SKÅNE LÄN</t>
        </is>
      </c>
      <c r="G281" t="inlineStr">
        <is>
          <t>ÖSTRA GÖINGE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46257</v>
      </c>
      <c r="F282" t="inlineStr">
        <is>
          <t>SKÅNE LÄN</t>
        </is>
      </c>
      <c r="G282" t="inlineStr">
        <is>
          <t>ÖSTRA GÖINGE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44887</v>
      </c>
      <c r="E283" s="1" t="n">
        <v>46257</v>
      </c>
      <c r="F283" t="inlineStr">
        <is>
          <t>SKÅNE LÄN</t>
        </is>
      </c>
      <c r="G283" t="inlineStr">
        <is>
          <t>ÖSTRA GÖINGE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46257</v>
      </c>
      <c r="F284" t="inlineStr">
        <is>
          <t>SKÅNE LÄN</t>
        </is>
      </c>
      <c r="G284" t="inlineStr">
        <is>
          <t>ÖSTRA GÖINGE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35547-2023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45146</v>
      </c>
      <c r="E285" s="1" t="n">
        <v>46257</v>
      </c>
      <c r="F285" t="inlineStr">
        <is>
          <t>SKÅNE LÄN</t>
        </is>
      </c>
      <c r="G285" t="inlineStr">
        <is>
          <t>ÖSTRA GÖINGE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46257</v>
      </c>
      <c r="F286" t="inlineStr">
        <is>
          <t>SKÅNE LÄN</t>
        </is>
      </c>
      <c r="G286" t="inlineStr">
        <is>
          <t>ÖSTRA GÖINGE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46257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46257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46257</v>
      </c>
      <c r="F289" t="inlineStr">
        <is>
          <t>SKÅNE LÄN</t>
        </is>
      </c>
      <c r="G289" t="inlineStr">
        <is>
          <t>ÖSTRA GÖINGE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46257</v>
      </c>
      <c r="F290" t="inlineStr">
        <is>
          <t>SKÅNE LÄN</t>
        </is>
      </c>
      <c r="G290" t="inlineStr">
        <is>
          <t>ÖSTRA GÖINGE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46257</v>
      </c>
      <c r="F291" t="inlineStr">
        <is>
          <t>SKÅNE LÄN</t>
        </is>
      </c>
      <c r="G291" t="inlineStr">
        <is>
          <t>ÖSTRA GÖINGE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46257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45256</v>
      </c>
      <c r="E293" s="1" t="n">
        <v>46257</v>
      </c>
      <c r="F293" t="inlineStr">
        <is>
          <t>SKÅNE LÄN</t>
        </is>
      </c>
      <c r="G293" t="inlineStr">
        <is>
          <t>ÖSTRA GÖINGE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45601</v>
      </c>
      <c r="E294" s="1" t="n">
        <v>46257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45489</v>
      </c>
      <c r="E295" s="1" t="n">
        <v>46257</v>
      </c>
      <c r="F295" t="inlineStr">
        <is>
          <t>SKÅNE LÄN</t>
        </is>
      </c>
      <c r="G295" t="inlineStr">
        <is>
          <t>ÖSTRA GÖINGE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46257</v>
      </c>
      <c r="F296" t="inlineStr">
        <is>
          <t>SKÅNE LÄN</t>
        </is>
      </c>
      <c r="G296" t="inlineStr">
        <is>
          <t>ÖSTRA GÖINGE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46257</v>
      </c>
      <c r="F297" t="inlineStr">
        <is>
          <t>SKÅNE LÄN</t>
        </is>
      </c>
      <c r="G297" t="inlineStr">
        <is>
          <t>ÖSTRA GÖINGE</t>
        </is>
      </c>
      <c r="I297" t="n">
        <v>15.4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46257</v>
      </c>
      <c r="F298" t="inlineStr">
        <is>
          <t>SKÅNE LÄN</t>
        </is>
      </c>
      <c r="G298" t="inlineStr">
        <is>
          <t>ÖSTRA GÖINGE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46257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46257</v>
      </c>
      <c r="F300" t="inlineStr">
        <is>
          <t>SKÅNE LÄN</t>
        </is>
      </c>
      <c r="G300" t="inlineStr">
        <is>
          <t>ÖSTRA GÖINGE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44602</v>
      </c>
      <c r="E301" s="1" t="n">
        <v>46257</v>
      </c>
      <c r="F301" t="inlineStr">
        <is>
          <t>SKÅNE LÄN</t>
        </is>
      </c>
      <c r="G301" t="inlineStr">
        <is>
          <t>ÖSTRA GÖINGE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44937</v>
      </c>
      <c r="E302" s="1" t="n">
        <v>46257</v>
      </c>
      <c r="F302" t="inlineStr">
        <is>
          <t>SKÅNE LÄN</t>
        </is>
      </c>
      <c r="G302" t="inlineStr">
        <is>
          <t>ÖSTRA GÖINGE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46257</v>
      </c>
      <c r="F303" t="inlineStr">
        <is>
          <t>SKÅNE LÄN</t>
        </is>
      </c>
      <c r="G303" t="inlineStr">
        <is>
          <t>ÖSTRA GÖINGE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46257</v>
      </c>
      <c r="F304" t="inlineStr">
        <is>
          <t>SKÅNE LÄN</t>
        </is>
      </c>
      <c r="G304" t="inlineStr">
        <is>
          <t>ÖSTRA GÖINGE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46257</v>
      </c>
      <c r="F305" t="inlineStr">
        <is>
          <t>SKÅNE LÄN</t>
        </is>
      </c>
      <c r="G305" t="inlineStr">
        <is>
          <t>ÖSTRA GÖINGE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46257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46257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46257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45636</v>
      </c>
      <c r="E309" s="1" t="n">
        <v>46257</v>
      </c>
      <c r="F309" t="inlineStr">
        <is>
          <t>SKÅNE LÄN</t>
        </is>
      </c>
      <c r="G309" t="inlineStr">
        <is>
          <t>ÖSTRA GÖINGE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46257</v>
      </c>
      <c r="F310" t="inlineStr">
        <is>
          <t>SKÅNE LÄN</t>
        </is>
      </c>
      <c r="G310" t="inlineStr">
        <is>
          <t>ÖSTRA GÖINGE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45331</v>
      </c>
      <c r="E311" s="1" t="n">
        <v>46257</v>
      </c>
      <c r="F311" t="inlineStr">
        <is>
          <t>SKÅNE LÄN</t>
        </is>
      </c>
      <c r="G311" t="inlineStr">
        <is>
          <t>ÖSTRA GÖINGE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45530</v>
      </c>
      <c r="E312" s="1" t="n">
        <v>46257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7057-2026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46057</v>
      </c>
      <c r="E313" s="1" t="n">
        <v>46257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46257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46257</v>
      </c>
      <c r="F315" t="inlineStr">
        <is>
          <t>SKÅNE LÄN</t>
        </is>
      </c>
      <c r="G315" t="inlineStr">
        <is>
          <t>ÖSTRA GÖINGE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44585</v>
      </c>
      <c r="E316" s="1" t="n">
        <v>46257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44593</v>
      </c>
      <c r="E317" s="1" t="n">
        <v>46257</v>
      </c>
      <c r="F317" t="inlineStr">
        <is>
          <t>SKÅNE LÄN</t>
        </is>
      </c>
      <c r="G317" t="inlineStr">
        <is>
          <t>ÖSTRA GÖINGE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46257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46257</v>
      </c>
      <c r="F319" t="inlineStr">
        <is>
          <t>SKÅNE LÄN</t>
        </is>
      </c>
      <c r="G319" t="inlineStr">
        <is>
          <t>ÖSTRA GÖINGE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45117</v>
      </c>
      <c r="E320" s="1" t="n">
        <v>46257</v>
      </c>
      <c r="F320" t="inlineStr">
        <is>
          <t>SKÅNE LÄN</t>
        </is>
      </c>
      <c r="G320" t="inlineStr">
        <is>
          <t>ÖSTRA GÖINGE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46257</v>
      </c>
      <c r="F321" t="inlineStr">
        <is>
          <t>SKÅNE LÄN</t>
        </is>
      </c>
      <c r="G321" t="inlineStr">
        <is>
          <t>ÖSTRA GÖINGE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46257</v>
      </c>
      <c r="F322" t="inlineStr">
        <is>
          <t>SKÅNE LÄN</t>
        </is>
      </c>
      <c r="G322" t="inlineStr">
        <is>
          <t>ÖSTRA GÖINGE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48952-2022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44859</v>
      </c>
      <c r="E323" s="1" t="n">
        <v>46257</v>
      </c>
      <c r="F323" t="inlineStr">
        <is>
          <t>SKÅNE LÄN</t>
        </is>
      </c>
      <c r="G323" t="inlineStr">
        <is>
          <t>ÖSTRA GÖINGE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46257</v>
      </c>
      <c r="F324" t="inlineStr">
        <is>
          <t>SKÅNE LÄN</t>
        </is>
      </c>
      <c r="G324" t="inlineStr">
        <is>
          <t>ÖSTRA GÖINGE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44840</v>
      </c>
      <c r="E325" s="1" t="n">
        <v>46257</v>
      </c>
      <c r="F325" t="inlineStr">
        <is>
          <t>SKÅNE LÄN</t>
        </is>
      </c>
      <c r="G325" t="inlineStr">
        <is>
          <t>ÖSTRA GÖINGE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50896-2021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44460</v>
      </c>
      <c r="E326" s="1" t="n">
        <v>46257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50927-2021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44459</v>
      </c>
      <c r="E327" s="1" t="n">
        <v>46257</v>
      </c>
      <c r="F327" t="inlineStr">
        <is>
          <t>SKÅNE LÄN</t>
        </is>
      </c>
      <c r="G327" t="inlineStr">
        <is>
          <t>ÖSTRA GÖINGE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46257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46257</v>
      </c>
      <c r="F329" t="inlineStr">
        <is>
          <t>SKÅNE LÄN</t>
        </is>
      </c>
      <c r="G329" t="inlineStr">
        <is>
          <t>ÖSTRA GÖINGE</t>
        </is>
      </c>
      <c r="I329" t="n">
        <v>34.5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46257</v>
      </c>
      <c r="F330" t="inlineStr">
        <is>
          <t>SKÅNE LÄN</t>
        </is>
      </c>
      <c r="G330" t="inlineStr">
        <is>
          <t>ÖSTRA GÖINGE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46182</v>
      </c>
      <c r="E331" s="1" t="n">
        <v>46257</v>
      </c>
      <c r="F331" t="inlineStr">
        <is>
          <t>SKÅNE LÄN</t>
        </is>
      </c>
      <c r="G331" t="inlineStr">
        <is>
          <t>ÖSTRA GÖINGE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46257</v>
      </c>
      <c r="F332" t="inlineStr">
        <is>
          <t>SKÅNE LÄN</t>
        </is>
      </c>
      <c r="G332" t="inlineStr">
        <is>
          <t>ÖSTRA GÖINGE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46257</v>
      </c>
      <c r="F333" t="inlineStr">
        <is>
          <t>SKÅNE LÄN</t>
        </is>
      </c>
      <c r="G333" t="inlineStr">
        <is>
          <t>ÖSTRA GÖINGE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46257</v>
      </c>
      <c r="F334" t="inlineStr">
        <is>
          <t>SKÅNE LÄN</t>
        </is>
      </c>
      <c r="G334" t="inlineStr">
        <is>
          <t>ÖSTRA GÖINGE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46677-2023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46257</v>
      </c>
      <c r="F335" t="inlineStr">
        <is>
          <t>SKÅNE LÄN</t>
        </is>
      </c>
      <c r="G335" t="inlineStr">
        <is>
          <t>ÖSTRA GÖINGE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45856</v>
      </c>
      <c r="E336" s="1" t="n">
        <v>46257</v>
      </c>
      <c r="F336" t="inlineStr">
        <is>
          <t>SKÅNE LÄN</t>
        </is>
      </c>
      <c r="G336" t="inlineStr">
        <is>
          <t>ÖSTRA GÖINGE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46257</v>
      </c>
      <c r="F337" t="inlineStr">
        <is>
          <t>SKÅNE LÄN</t>
        </is>
      </c>
      <c r="G337" t="inlineStr">
        <is>
          <t>ÖSTRA GÖINGE</t>
        </is>
      </c>
      <c r="I337" t="n">
        <v>11.9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46257</v>
      </c>
      <c r="F338" t="inlineStr">
        <is>
          <t>SKÅNE LÄN</t>
        </is>
      </c>
      <c r="G338" t="inlineStr">
        <is>
          <t>ÖSTRA GÖINGE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46257</v>
      </c>
      <c r="F339" t="inlineStr">
        <is>
          <t>SKÅNE LÄN</t>
        </is>
      </c>
      <c r="G339" t="inlineStr">
        <is>
          <t>ÖSTRA GÖINGE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46257</v>
      </c>
      <c r="F340" t="inlineStr">
        <is>
          <t>SKÅNE LÄN</t>
        </is>
      </c>
      <c r="G340" t="inlineStr">
        <is>
          <t>ÖSTRA GÖINGE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45735</v>
      </c>
      <c r="E341" s="1" t="n">
        <v>46257</v>
      </c>
      <c r="F341" t="inlineStr">
        <is>
          <t>SKÅNE LÄN</t>
        </is>
      </c>
      <c r="G341" t="inlineStr">
        <is>
          <t>ÖSTRA GÖINGE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69387-2021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44531</v>
      </c>
      <c r="E342" s="1" t="n">
        <v>46257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46257</v>
      </c>
      <c r="F343" t="inlineStr">
        <is>
          <t>SKÅNE LÄN</t>
        </is>
      </c>
      <c r="G343" t="inlineStr">
        <is>
          <t>ÖSTRA GÖINGE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46257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45568</v>
      </c>
      <c r="E345" s="1" t="n">
        <v>46257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46257</v>
      </c>
      <c r="F346" t="inlineStr">
        <is>
          <t>SKÅNE LÄN</t>
        </is>
      </c>
      <c r="G346" t="inlineStr">
        <is>
          <t>ÖSTRA GÖINGE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46257</v>
      </c>
      <c r="F347" t="inlineStr">
        <is>
          <t>SKÅNE LÄN</t>
        </is>
      </c>
      <c r="G347" t="inlineStr">
        <is>
          <t>ÖSTRA GÖINGE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46257</v>
      </c>
      <c r="F348" t="inlineStr">
        <is>
          <t>SKÅNE LÄN</t>
        </is>
      </c>
      <c r="G348" t="inlineStr">
        <is>
          <t>ÖSTRA GÖINGE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44623</v>
      </c>
      <c r="E349" s="1" t="n">
        <v>46257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46257</v>
      </c>
      <c r="F350" t="inlineStr">
        <is>
          <t>SKÅNE LÄN</t>
        </is>
      </c>
      <c r="G350" t="inlineStr">
        <is>
          <t>ÖSTRA GÖINGE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46257</v>
      </c>
      <c r="F351" t="inlineStr">
        <is>
          <t>SKÅNE LÄN</t>
        </is>
      </c>
      <c r="G351" t="inlineStr">
        <is>
          <t>ÖSTRA GÖINGE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48408-2023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45205</v>
      </c>
      <c r="E352" s="1" t="n">
        <v>46257</v>
      </c>
      <c r="F352" t="inlineStr">
        <is>
          <t>SKÅNE LÄN</t>
        </is>
      </c>
      <c r="G352" t="inlineStr">
        <is>
          <t>ÖSTRA GÖINGE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45489</v>
      </c>
      <c r="E353" s="1" t="n">
        <v>46257</v>
      </c>
      <c r="F353" t="inlineStr">
        <is>
          <t>SKÅNE LÄN</t>
        </is>
      </c>
      <c r="G353" t="inlineStr">
        <is>
          <t>ÖSTRA GÖINGE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45105</v>
      </c>
      <c r="E354" s="1" t="n">
        <v>46257</v>
      </c>
      <c r="F354" t="inlineStr">
        <is>
          <t>SKÅNE LÄN</t>
        </is>
      </c>
      <c r="G354" t="inlineStr">
        <is>
          <t>ÖSTRA GÖINGE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46257</v>
      </c>
      <c r="F355" t="inlineStr">
        <is>
          <t>SKÅNE LÄN</t>
        </is>
      </c>
      <c r="G355" t="inlineStr">
        <is>
          <t>ÖSTRA GÖINGE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46257</v>
      </c>
      <c r="F356" t="inlineStr">
        <is>
          <t>SKÅNE LÄN</t>
        </is>
      </c>
      <c r="G356" t="inlineStr">
        <is>
          <t>ÖSTRA GÖINGE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46257</v>
      </c>
      <c r="F357" t="inlineStr">
        <is>
          <t>SKÅNE LÄN</t>
        </is>
      </c>
      <c r="G357" t="inlineStr">
        <is>
          <t>ÖSTRA GÖINGE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46257</v>
      </c>
      <c r="F358" t="inlineStr">
        <is>
          <t>SKÅNE LÄN</t>
        </is>
      </c>
      <c r="G358" t="inlineStr">
        <is>
          <t>ÖSTRA GÖINGE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46257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45727</v>
      </c>
      <c r="E360" s="1" t="n">
        <v>46257</v>
      </c>
      <c r="F360" t="inlineStr">
        <is>
          <t>SKÅNE LÄN</t>
        </is>
      </c>
      <c r="G360" t="inlineStr">
        <is>
          <t>ÖSTRA GÖINGE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46257</v>
      </c>
      <c r="F361" t="inlineStr">
        <is>
          <t>SKÅNE LÄN</t>
        </is>
      </c>
      <c r="G361" t="inlineStr">
        <is>
          <t>ÖSTRA GÖINGE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46257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46257</v>
      </c>
      <c r="F363" t="inlineStr">
        <is>
          <t>SKÅNE LÄN</t>
        </is>
      </c>
      <c r="G363" t="inlineStr">
        <is>
          <t>ÖSTRA GÖINGE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46257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46257</v>
      </c>
      <c r="F365" t="inlineStr">
        <is>
          <t>SKÅNE LÄN</t>
        </is>
      </c>
      <c r="G365" t="inlineStr">
        <is>
          <t>ÖSTRA GÖINGE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46257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46241</v>
      </c>
      <c r="E367" s="1" t="n">
        <v>46257</v>
      </c>
      <c r="F367" t="inlineStr">
        <is>
          <t>SKÅNE LÄN</t>
        </is>
      </c>
      <c r="G367" t="inlineStr">
        <is>
          <t>ÖSTRA GÖINGE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46257</v>
      </c>
      <c r="F368" t="inlineStr">
        <is>
          <t>SKÅNE LÄN</t>
        </is>
      </c>
      <c r="G368" t="inlineStr">
        <is>
          <t>ÖSTRA GÖINGE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46257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46257</v>
      </c>
      <c r="F370" t="inlineStr">
        <is>
          <t>SKÅNE LÄN</t>
        </is>
      </c>
      <c r="G370" t="inlineStr">
        <is>
          <t>ÖSTRA GÖINGE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46257</v>
      </c>
      <c r="F371" t="inlineStr">
        <is>
          <t>SKÅNE LÄN</t>
        </is>
      </c>
      <c r="G371" t="inlineStr">
        <is>
          <t>ÖSTRA GÖINGE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46257</v>
      </c>
      <c r="F372" t="inlineStr">
        <is>
          <t>SKÅNE LÄN</t>
        </is>
      </c>
      <c r="G372" t="inlineStr">
        <is>
          <t>ÖSTRA GÖINGE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45601</v>
      </c>
      <c r="E373" s="1" t="n">
        <v>46257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46257</v>
      </c>
      <c r="F374" t="inlineStr">
        <is>
          <t>SKÅNE LÄN</t>
        </is>
      </c>
      <c r="G374" t="inlineStr">
        <is>
          <t>ÖSTRA GÖINGE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46257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52930-2021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44467</v>
      </c>
      <c r="E376" s="1" t="n">
        <v>46257</v>
      </c>
      <c r="F376" t="inlineStr">
        <is>
          <t>SKÅNE LÄN</t>
        </is>
      </c>
      <c r="G376" t="inlineStr">
        <is>
          <t>ÖSTRA GÖINGE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49795-2025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46257</v>
      </c>
      <c r="F377" t="inlineStr">
        <is>
          <t>SKÅNE LÄN</t>
        </is>
      </c>
      <c r="G377" t="inlineStr">
        <is>
          <t>ÖSTRA GÖINGE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55716-2024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45622</v>
      </c>
      <c r="E378" s="1" t="n">
        <v>46257</v>
      </c>
      <c r="F378" t="inlineStr">
        <is>
          <t>SKÅNE LÄN</t>
        </is>
      </c>
      <c r="G378" t="inlineStr">
        <is>
          <t>ÖSTRA GÖINGE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46257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45804</v>
      </c>
      <c r="E380" s="1" t="n">
        <v>46257</v>
      </c>
      <c r="F380" t="inlineStr">
        <is>
          <t>SKÅNE LÄN</t>
        </is>
      </c>
      <c r="G380" t="inlineStr">
        <is>
          <t>ÖSTRA GÖINGE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44958</v>
      </c>
      <c r="E381" s="1" t="n">
        <v>46257</v>
      </c>
      <c r="F381" t="inlineStr">
        <is>
          <t>SKÅNE LÄN</t>
        </is>
      </c>
      <c r="G381" t="inlineStr">
        <is>
          <t>ÖSTRA GÖINGE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44958</v>
      </c>
      <c r="E382" s="1" t="n">
        <v>46257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30111-2026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46206</v>
      </c>
      <c r="E383" s="1" t="n">
        <v>46257</v>
      </c>
      <c r="F383" t="inlineStr">
        <is>
          <t>SKÅNE LÄN</t>
        </is>
      </c>
      <c r="G383" t="inlineStr">
        <is>
          <t>ÖSTRA GÖINGE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45574</v>
      </c>
      <c r="E384" s="1" t="n">
        <v>46257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46248</v>
      </c>
      <c r="E385" s="1" t="n">
        <v>46257</v>
      </c>
      <c r="F385" t="inlineStr">
        <is>
          <t>SKÅNE LÄN</t>
        </is>
      </c>
      <c r="G385" t="inlineStr">
        <is>
          <t>ÖSTRA GÖINGE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46257</v>
      </c>
      <c r="F386" t="inlineStr">
        <is>
          <t>SKÅNE LÄN</t>
        </is>
      </c>
      <c r="G386" t="inlineStr">
        <is>
          <t>ÖSTRA GÖINGE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45076</v>
      </c>
      <c r="E387" s="1" t="n">
        <v>46257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34924-2022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44796</v>
      </c>
      <c r="E388" s="1" t="n">
        <v>46257</v>
      </c>
      <c r="F388" t="inlineStr">
        <is>
          <t>SKÅNE LÄN</t>
        </is>
      </c>
      <c r="G388" t="inlineStr">
        <is>
          <t>ÖSTRA GÖINGE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46205</v>
      </c>
      <c r="E389" s="1" t="n">
        <v>46257</v>
      </c>
      <c r="F389" t="inlineStr">
        <is>
          <t>SKÅNE LÄN</t>
        </is>
      </c>
      <c r="G389" t="inlineStr">
        <is>
          <t>ÖSTRA GÖINGE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46257</v>
      </c>
      <c r="F390" t="inlineStr">
        <is>
          <t>SKÅNE LÄN</t>
        </is>
      </c>
      <c r="G390" t="inlineStr">
        <is>
          <t>ÖSTRA GÖINGE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46257</v>
      </c>
      <c r="F391" t="inlineStr">
        <is>
          <t>SKÅNE LÄN</t>
        </is>
      </c>
      <c r="G391" t="inlineStr">
        <is>
          <t>ÖSTRA GÖINGE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46257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46257</v>
      </c>
      <c r="F393" t="inlineStr">
        <is>
          <t>SKÅNE LÄN</t>
        </is>
      </c>
      <c r="G393" t="inlineStr">
        <is>
          <t>ÖSTRA GÖINGE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45117</v>
      </c>
      <c r="E394" s="1" t="n">
        <v>46257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46257</v>
      </c>
      <c r="F395" t="inlineStr">
        <is>
          <t>SKÅNE LÄN</t>
        </is>
      </c>
      <c r="G395" t="inlineStr">
        <is>
          <t>ÖSTRA GÖINGE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46257</v>
      </c>
      <c r="F396" t="inlineStr">
        <is>
          <t>SKÅNE LÄN</t>
        </is>
      </c>
      <c r="G396" t="inlineStr">
        <is>
          <t>ÖSTRA GÖINGE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45777-2025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46257</v>
      </c>
      <c r="F397" t="inlineStr">
        <is>
          <t>SKÅNE LÄN</t>
        </is>
      </c>
      <c r="G397" t="inlineStr">
        <is>
          <t>ÖSTRA GÖINGE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45774</v>
      </c>
      <c r="E398" s="1" t="n">
        <v>46257</v>
      </c>
      <c r="F398" t="inlineStr">
        <is>
          <t>SKÅNE LÄN</t>
        </is>
      </c>
      <c r="G398" t="inlineStr">
        <is>
          <t>ÖSTRA GÖINGE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46257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45538</v>
      </c>
      <c r="E400" s="1" t="n">
        <v>46257</v>
      </c>
      <c r="F400" t="inlineStr">
        <is>
          <t>SKÅNE LÄN</t>
        </is>
      </c>
      <c r="G400" t="inlineStr">
        <is>
          <t>ÖSTRA GÖINGE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46257</v>
      </c>
      <c r="F401" t="inlineStr">
        <is>
          <t>SKÅNE LÄN</t>
        </is>
      </c>
      <c r="G401" t="inlineStr">
        <is>
          <t>ÖSTRA GÖINGE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46257</v>
      </c>
      <c r="F402" t="inlineStr">
        <is>
          <t>SKÅNE LÄN</t>
        </is>
      </c>
      <c r="G402" t="inlineStr">
        <is>
          <t>ÖSTRA GÖINGE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46257</v>
      </c>
      <c r="F403" t="inlineStr">
        <is>
          <t>SKÅNE LÄN</t>
        </is>
      </c>
      <c r="G403" t="inlineStr">
        <is>
          <t>ÖSTRA GÖINGE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44953</v>
      </c>
      <c r="E404" s="1" t="n">
        <v>46257</v>
      </c>
      <c r="F404" t="inlineStr">
        <is>
          <t>SKÅNE LÄN</t>
        </is>
      </c>
      <c r="G404" t="inlineStr">
        <is>
          <t>ÖSTRA GÖINGE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45138</v>
      </c>
      <c r="E405" s="1" t="n">
        <v>46257</v>
      </c>
      <c r="F405" t="inlineStr">
        <is>
          <t>SKÅNE LÄN</t>
        </is>
      </c>
      <c r="G405" t="inlineStr">
        <is>
          <t>ÖSTRA GÖINGE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45076</v>
      </c>
      <c r="E406" s="1" t="n">
        <v>46257</v>
      </c>
      <c r="F406" t="inlineStr">
        <is>
          <t>SKÅNE LÄN</t>
        </is>
      </c>
      <c r="G406" t="inlineStr">
        <is>
          <t>ÖSTRA GÖINGE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45765</v>
      </c>
      <c r="E407" s="1" t="n">
        <v>46257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46257</v>
      </c>
      <c r="F408" t="inlineStr">
        <is>
          <t>SKÅNE LÄN</t>
        </is>
      </c>
      <c r="G408" t="inlineStr">
        <is>
          <t>ÖSTRA GÖINGE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46257</v>
      </c>
      <c r="F409" t="inlineStr">
        <is>
          <t>SKÅNE LÄN</t>
        </is>
      </c>
      <c r="G409" t="inlineStr">
        <is>
          <t>ÖSTRA GÖINGE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46257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45316</v>
      </c>
      <c r="E411" s="1" t="n">
        <v>46257</v>
      </c>
      <c r="F411" t="inlineStr">
        <is>
          <t>SKÅNE LÄN</t>
        </is>
      </c>
      <c r="G411" t="inlineStr">
        <is>
          <t>ÖSTRA GÖINGE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46709-2024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45583</v>
      </c>
      <c r="E412" s="1" t="n">
        <v>46257</v>
      </c>
      <c r="F412" t="inlineStr">
        <is>
          <t>SKÅNE LÄN</t>
        </is>
      </c>
      <c r="G412" t="inlineStr">
        <is>
          <t>ÖSTRA GÖINGE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46257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46257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21260-2026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46147</v>
      </c>
      <c r="E415" s="1" t="n">
        <v>46257</v>
      </c>
      <c r="F415" t="inlineStr">
        <is>
          <t>SKÅNE LÄN</t>
        </is>
      </c>
      <c r="G415" t="inlineStr">
        <is>
          <t>ÖSTRA GÖINGE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45147</v>
      </c>
      <c r="E416" s="1" t="n">
        <v>46257</v>
      </c>
      <c r="F416" t="inlineStr">
        <is>
          <t>SKÅNE LÄN</t>
        </is>
      </c>
      <c r="G416" t="inlineStr">
        <is>
          <t>ÖSTRA GÖINGE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44810</v>
      </c>
      <c r="E417" s="1" t="n">
        <v>46257</v>
      </c>
      <c r="F417" t="inlineStr">
        <is>
          <t>SKÅNE LÄN</t>
        </is>
      </c>
      <c r="G417" t="inlineStr">
        <is>
          <t>ÖSTRA GÖINGE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44946</v>
      </c>
      <c r="E418" s="1" t="n">
        <v>46257</v>
      </c>
      <c r="F418" t="inlineStr">
        <is>
          <t>SKÅNE LÄN</t>
        </is>
      </c>
      <c r="G418" t="inlineStr">
        <is>
          <t>ÖSTRA GÖINGE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44764-2021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44438</v>
      </c>
      <c r="E419" s="1" t="n">
        <v>46257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44593</v>
      </c>
      <c r="E420" s="1" t="n">
        <v>46257</v>
      </c>
      <c r="F420" t="inlineStr">
        <is>
          <t>SKÅNE LÄN</t>
        </is>
      </c>
      <c r="G420" t="inlineStr">
        <is>
          <t>ÖSTRA GÖINGE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46257</v>
      </c>
      <c r="F421" t="inlineStr">
        <is>
          <t>SKÅNE LÄN</t>
        </is>
      </c>
      <c r="G421" t="inlineStr">
        <is>
          <t>ÖSTRA GÖINGE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46257</v>
      </c>
      <c r="F422" t="inlineStr">
        <is>
          <t>SKÅNE LÄN</t>
        </is>
      </c>
      <c r="G422" t="inlineStr">
        <is>
          <t>ÖSTRA GÖINGE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44992</v>
      </c>
      <c r="E423" s="1" t="n">
        <v>46257</v>
      </c>
      <c r="F423" t="inlineStr">
        <is>
          <t>SKÅNE LÄN</t>
        </is>
      </c>
      <c r="G423" t="inlineStr">
        <is>
          <t>ÖSTRA GÖINGE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46257</v>
      </c>
      <c r="F424" t="inlineStr">
        <is>
          <t>SKÅNE LÄN</t>
        </is>
      </c>
      <c r="G424" t="inlineStr">
        <is>
          <t>ÖSTRA GÖINGE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46257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47591-2023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46257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45310</v>
      </c>
      <c r="E427" s="1" t="n">
        <v>46257</v>
      </c>
      <c r="F427" t="inlineStr">
        <is>
          <t>SKÅNE LÄN</t>
        </is>
      </c>
      <c r="G427" t="inlineStr">
        <is>
          <t>ÖSTRA GÖINGE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46257</v>
      </c>
      <c r="F428" t="inlineStr">
        <is>
          <t>SKÅNE LÄN</t>
        </is>
      </c>
      <c r="G428" t="inlineStr">
        <is>
          <t>ÖSTRA GÖINGE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46257</v>
      </c>
      <c r="F429" t="inlineStr">
        <is>
          <t>SKÅNE LÄN</t>
        </is>
      </c>
      <c r="G429" t="inlineStr">
        <is>
          <t>ÖSTRA GÖINGE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44489</v>
      </c>
      <c r="E430" s="1" t="n">
        <v>46257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46257</v>
      </c>
      <c r="F431" t="inlineStr">
        <is>
          <t>SKÅNE LÄN</t>
        </is>
      </c>
      <c r="G431" t="inlineStr">
        <is>
          <t>ÖSTRA GÖINGE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46257</v>
      </c>
      <c r="F432" t="inlineStr">
        <is>
          <t>SKÅNE LÄN</t>
        </is>
      </c>
      <c r="G432" t="inlineStr">
        <is>
          <t>ÖSTRA GÖINGE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45733</v>
      </c>
      <c r="E433" s="1" t="n">
        <v>46257</v>
      </c>
      <c r="F433" t="inlineStr">
        <is>
          <t>SKÅNE LÄN</t>
        </is>
      </c>
      <c r="G433" t="inlineStr">
        <is>
          <t>ÖSTRA GÖINGE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46257</v>
      </c>
      <c r="F434" t="inlineStr">
        <is>
          <t>SKÅNE LÄN</t>
        </is>
      </c>
      <c r="G434" t="inlineStr">
        <is>
          <t>ÖSTRA GÖINGE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46257</v>
      </c>
      <c r="F435" t="inlineStr">
        <is>
          <t>SKÅNE LÄN</t>
        </is>
      </c>
      <c r="G435" t="inlineStr">
        <is>
          <t>ÖSTRA GÖINGE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46257</v>
      </c>
      <c r="F436" t="inlineStr">
        <is>
          <t>SKÅNE LÄN</t>
        </is>
      </c>
      <c r="G436" t="inlineStr">
        <is>
          <t>ÖSTRA GÖINGE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45564</v>
      </c>
      <c r="E437" s="1" t="n">
        <v>46257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45022</v>
      </c>
      <c r="E438" s="1" t="n">
        <v>46257</v>
      </c>
      <c r="F438" t="inlineStr">
        <is>
          <t>SKÅNE LÄN</t>
        </is>
      </c>
      <c r="G438" t="inlineStr">
        <is>
          <t>ÖSTRA GÖINGE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46257</v>
      </c>
      <c r="F439" t="inlineStr">
        <is>
          <t>SKÅNE LÄN</t>
        </is>
      </c>
      <c r="G439" t="inlineStr">
        <is>
          <t>ÖSTRA GÖINGE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46257</v>
      </c>
      <c r="F440" t="inlineStr">
        <is>
          <t>SKÅNE LÄN</t>
        </is>
      </c>
      <c r="G440" t="inlineStr">
        <is>
          <t>ÖSTRA GÖINGE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45699</v>
      </c>
      <c r="E441" s="1" t="n">
        <v>46257</v>
      </c>
      <c r="F441" t="inlineStr">
        <is>
          <t>SKÅNE LÄN</t>
        </is>
      </c>
      <c r="G441" t="inlineStr">
        <is>
          <t>ÖSTRA GÖINGE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46257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45643</v>
      </c>
      <c r="E443" s="1" t="n">
        <v>46257</v>
      </c>
      <c r="F443" t="inlineStr">
        <is>
          <t>SKÅNE LÄN</t>
        </is>
      </c>
      <c r="G443" t="inlineStr">
        <is>
          <t>ÖSTRA GÖINGE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46257</v>
      </c>
      <c r="F444" t="inlineStr">
        <is>
          <t>SKÅNE LÄN</t>
        </is>
      </c>
      <c r="G444" t="inlineStr">
        <is>
          <t>ÖSTRA GÖINGE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46257</v>
      </c>
      <c r="F445" t="inlineStr">
        <is>
          <t>SKÅNE LÄN</t>
        </is>
      </c>
      <c r="G445" t="inlineStr">
        <is>
          <t>ÖSTRA GÖINGE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46257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46257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46257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46257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46257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46257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46257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46257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46257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46257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46257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46257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46257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46257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46257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46257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46257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46257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46257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46257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6355-2021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44448</v>
      </c>
      <c r="E466" s="1" t="n">
        <v>46257</v>
      </c>
      <c r="F466" t="inlineStr">
        <is>
          <t>SKÅNE LÄN</t>
        </is>
      </c>
      <c r="G466" t="inlineStr">
        <is>
          <t>ÖSTRA GÖINGE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46257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46257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46257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450-2022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44586</v>
      </c>
      <c r="E470" s="1" t="n">
        <v>46257</v>
      </c>
      <c r="F470" t="inlineStr">
        <is>
          <t>SKÅNE LÄN</t>
        </is>
      </c>
      <c r="G470" t="inlineStr">
        <is>
          <t>ÖSTRA GÖINGE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46257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46257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46257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46257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46257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46257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46257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46257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46257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46257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46257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46257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46257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46257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46257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46257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46257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2026-08-23T01:51:57Z</dcterms:created>
  <dcterms:modified xmlns:dcterms="http://purl.org/dc/terms/" xmlns:xsi="http://www.w3.org/2001/XMLSchema-instance" xsi:type="dcterms:W3CDTF">2026-08-23T01:51:57Z</dcterms:modified>
</cp:coreProperties>
</file>