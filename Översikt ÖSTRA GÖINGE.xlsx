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46304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46304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46304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46304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46304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46304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46304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46304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46304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46304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46304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46304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46304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46304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46304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46304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46304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46304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46304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46304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46304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46304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46304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46304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23405-2023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46304</v>
      </c>
      <c r="F26" t="inlineStr">
        <is>
          <t>SKÅNE LÄN</t>
        </is>
      </c>
      <c r="G26" t="inlineStr">
        <is>
          <t>ÖSTRA GÖINGE</t>
        </is>
      </c>
      <c r="I26" t="n">
        <v>2.2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Vanlig groda
Vanlig padda</t>
        </is>
      </c>
      <c r="W26">
        <f>HYPERLINK("https://klasma.github.io/Logging_1256/artfynd/A 23405-2023 artfynd.xlsx", "A 23405-2023")</f>
        <v/>
      </c>
      <c r="X26">
        <f>HYPERLINK("https://klasma.github.io/Logging_1256/kartor/A 23405-2023 karta.png", "A 23405-2023")</f>
        <v/>
      </c>
      <c r="Y26">
        <f>HYPERLINK("https://klasma.github.io/Logging_1256/kartor_geotiff/A 23405-2023 georefererad karta.tif", "A 23405-2023")</f>
        <v/>
      </c>
      <c r="AA26">
        <f>HYPERLINK("https://klasma.github.io/Logging_1256/klagomål/A 23405-2023 FSC-klagomål.docx", "A 23405-2023")</f>
        <v/>
      </c>
      <c r="AB26">
        <f>HYPERLINK("https://klasma.github.io/Logging_1256/klagomålsmail/A 23405-2023 FSC-klagomål mail.docx", "A 23405-2023")</f>
        <v/>
      </c>
      <c r="AC26">
        <f>HYPERLINK("https://klasma.github.io/Logging_1256/tillsyn/A 23405-2023 tillsynsbegäran.docx", "A 23405-2023")</f>
        <v/>
      </c>
      <c r="AD26">
        <f>HYPERLINK("https://klasma.github.io/Logging_1256/tillsynsmail/A 23405-2023 tillsynsbegäran mail.docx", "A 23405-2023")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46304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46304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46304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46304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46304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46304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46304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46304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46304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46304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46304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46304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46304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46304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9769-2024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46304</v>
      </c>
      <c r="F41" t="inlineStr">
        <is>
          <t>SKÅNE LÄN</t>
        </is>
      </c>
      <c r="G41" t="inlineStr">
        <is>
          <t>ÖSTRA GÖINGE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HYPERLINK("https://klasma.github.io/Logging_1256/artfynd/A 9769-2024 artfynd.xlsx", "A 9769-2024")</f>
        <v/>
      </c>
      <c r="X41">
        <f>HYPERLINK("https://klasma.github.io/Logging_1256/kartor/A 9769-2024 karta.png", "A 9769-2024")</f>
        <v/>
      </c>
      <c r="Y41">
        <f>HYPERLINK("https://klasma.github.io/Logging_1256/kartor_geotiff/A 9769-2024 georefererad karta.tif", "A 9769-2024")</f>
        <v/>
      </c>
      <c r="AA41">
        <f>HYPERLINK("https://klasma.github.io/Logging_1256/klagomål/A 9769-2024 FSC-klagomål.docx", "A 9769-2024")</f>
        <v/>
      </c>
      <c r="AB41">
        <f>HYPERLINK("https://klasma.github.io/Logging_1256/klagomålsmail/A 9769-2024 FSC-klagomål mail.docx", "A 9769-2024")</f>
        <v/>
      </c>
      <c r="AC41">
        <f>HYPERLINK("https://klasma.github.io/Logging_1256/tillsyn/A 9769-2024 tillsynsbegäran.docx", "A 9769-2024")</f>
        <v/>
      </c>
      <c r="AD41">
        <f>HYPERLINK("https://klasma.github.io/Logging_1256/tillsynsmail/A 9769-2024 tillsynsbegäran mail.docx", "A 9769-2024")</f>
        <v/>
      </c>
    </row>
    <row r="42" ht="15" customHeight="1">
      <c r="A42" t="inlineStr">
        <is>
          <t>A 34344-2025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45846</v>
      </c>
      <c r="E42" s="1" t="n">
        <v>46304</v>
      </c>
      <c r="F42" t="inlineStr">
        <is>
          <t>SKÅNE LÄN</t>
        </is>
      </c>
      <c r="G42" t="inlineStr">
        <is>
          <t>ÖSTRA GÖINGE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Huggorm</t>
        </is>
      </c>
      <c r="W42">
        <f>HYPERLINK("https://klasma.github.io/Logging_1256/artfynd/A 34344-2025 artfynd.xlsx", "A 34344-2025")</f>
        <v/>
      </c>
      <c r="X42">
        <f>HYPERLINK("https://klasma.github.io/Logging_1256/kartor/A 34344-2025 karta.png", "A 34344-2025")</f>
        <v/>
      </c>
      <c r="Y42">
        <f>HYPERLINK("https://klasma.github.io/Logging_1256/kartor_geotiff/A 34344-2025 georefererad karta.tif", "A 34344-2025")</f>
        <v/>
      </c>
      <c r="AA42">
        <f>HYPERLINK("https://klasma.github.io/Logging_1256/klagomål/A 34344-2025 FSC-klagomål.docx", "A 34344-2025")</f>
        <v/>
      </c>
      <c r="AB42">
        <f>HYPERLINK("https://klasma.github.io/Logging_1256/klagomålsmail/A 34344-2025 FSC-klagomål mail.docx", "A 34344-2025")</f>
        <v/>
      </c>
      <c r="AC42">
        <f>HYPERLINK("https://klasma.github.io/Logging_1256/tillsyn/A 34344-2025 tillsynsbegäran.docx", "A 34344-2025")</f>
        <v/>
      </c>
      <c r="AD42">
        <f>HYPERLINK("https://klasma.github.io/Logging_1256/tillsynsmail/A 34344-2025 tillsynsbegäran mail.docx", "A 34344-2025")</f>
        <v/>
      </c>
    </row>
    <row r="43" ht="15" customHeight="1">
      <c r="A43" t="inlineStr">
        <is>
          <t>A 38965-2025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46304</v>
      </c>
      <c r="F43" t="inlineStr">
        <is>
          <t>SKÅNE LÄN</t>
        </is>
      </c>
      <c r="G43" t="inlineStr">
        <is>
          <t>ÖSTRA GÖINGE</t>
        </is>
      </c>
      <c r="I43" t="n">
        <v>2.5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HYPERLINK("https://klasma.github.io/Logging_1256/artfynd/A 38965-2025 artfynd.xlsx", "A 38965-2025")</f>
        <v/>
      </c>
      <c r="X43">
        <f>HYPERLINK("https://klasma.github.io/Logging_1256/kartor/A 38965-2025 karta.png", "A 38965-2025")</f>
        <v/>
      </c>
      <c r="Y43">
        <f>HYPERLINK("https://klasma.github.io/Logging_1256/kartor_geotiff/A 38965-2025 georefererad karta.tif", "A 38965-2025")</f>
        <v/>
      </c>
      <c r="AA43">
        <f>HYPERLINK("https://klasma.github.io/Logging_1256/klagomål/A 38965-2025 FSC-klagomål.docx", "A 38965-2025")</f>
        <v/>
      </c>
      <c r="AB43">
        <f>HYPERLINK("https://klasma.github.io/Logging_1256/klagomålsmail/A 38965-2025 FSC-klagomål mail.docx", "A 38965-2025")</f>
        <v/>
      </c>
      <c r="AC43">
        <f>HYPERLINK("https://klasma.github.io/Logging_1256/tillsyn/A 38965-2025 tillsynsbegäran.docx", "A 38965-2025")</f>
        <v/>
      </c>
      <c r="AD43">
        <f>HYPERLINK("https://klasma.github.io/Logging_1256/tillsynsmail/A 38965-2025 tillsynsbegäran mail.docx", "A 38965-2025")</f>
        <v/>
      </c>
    </row>
    <row r="44" ht="15" customHeight="1">
      <c r="A44" t="inlineStr">
        <is>
          <t>A 35037-2024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46304</v>
      </c>
      <c r="F44" t="inlineStr">
        <is>
          <t>SKÅNE LÄN</t>
        </is>
      </c>
      <c r="G44" t="inlineStr">
        <is>
          <t>ÖSTRA GÖINGE</t>
        </is>
      </c>
      <c r="I44" t="n">
        <v>12.6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35037-2024 artfynd.xlsx", "A 35037-2024")</f>
        <v/>
      </c>
      <c r="X44">
        <f>HYPERLINK("https://klasma.github.io/Logging_1256/kartor/A 35037-2024 karta.png", "A 35037-2024")</f>
        <v/>
      </c>
      <c r="Y44">
        <f>HYPERLINK("https://klasma.github.io/Logging_1256/kartor_geotiff/A 35037-2024 georefererad karta.tif", "A 35037-2024")</f>
        <v/>
      </c>
      <c r="AA44">
        <f>HYPERLINK("https://klasma.github.io/Logging_1256/klagomål/A 35037-2024 FSC-klagomål.docx", "A 35037-2024")</f>
        <v/>
      </c>
      <c r="AB44">
        <f>HYPERLINK("https://klasma.github.io/Logging_1256/klagomålsmail/A 35037-2024 FSC-klagomål mail.docx", "A 35037-2024")</f>
        <v/>
      </c>
      <c r="AC44">
        <f>HYPERLINK("https://klasma.github.io/Logging_1256/tillsyn/A 35037-2024 tillsynsbegäran.docx", "A 35037-2024")</f>
        <v/>
      </c>
      <c r="AD44">
        <f>HYPERLINK("https://klasma.github.io/Logging_1256/tillsynsmail/A 35037-2024 tillsynsbegäran mail.docx", "A 35037-2024")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46304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46304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46304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6152-2024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46304</v>
      </c>
      <c r="F48" t="inlineStr">
        <is>
          <t>SKÅNE LÄN</t>
        </is>
      </c>
      <c r="G48" t="inlineStr">
        <is>
          <t>ÖSTRA GÖINGE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HYPERLINK("https://klasma.github.io/Logging_1256/artfynd/A 6152-2024 artfynd.xlsx", "A 6152-2024")</f>
        <v/>
      </c>
      <c r="X48">
        <f>HYPERLINK("https://klasma.github.io/Logging_1256/kartor/A 6152-2024 karta.png", "A 6152-2024")</f>
        <v/>
      </c>
      <c r="Y48">
        <f>HYPERLINK("https://klasma.github.io/Logging_1256/kartor_geotiff/A 6152-2024 georefererad karta.tif", "A 6152-2024")</f>
        <v/>
      </c>
      <c r="AA48">
        <f>HYPERLINK("https://klasma.github.io/Logging_1256/klagomål/A 6152-2024 FSC-klagomål.docx", "A 6152-2024")</f>
        <v/>
      </c>
      <c r="AB48">
        <f>HYPERLINK("https://klasma.github.io/Logging_1256/klagomålsmail/A 6152-2024 FSC-klagomål mail.docx", "A 6152-2024")</f>
        <v/>
      </c>
      <c r="AC48">
        <f>HYPERLINK("https://klasma.github.io/Logging_1256/tillsyn/A 6152-2024 tillsynsbegäran.docx", "A 6152-2024")</f>
        <v/>
      </c>
      <c r="AD48">
        <f>HYPERLINK("https://klasma.github.io/Logging_1256/tillsynsmail/A 6152-2024 tillsynsbegäran mail.docx", "A 6152-2024")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46304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40135-2022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46304</v>
      </c>
      <c r="F50" t="inlineStr">
        <is>
          <t>SKÅNE LÄN</t>
        </is>
      </c>
      <c r="G50" t="inlineStr">
        <is>
          <t>ÖSTRA GÖINGE</t>
        </is>
      </c>
      <c r="I50" t="n">
        <v>3.7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HYPERLINK("https://klasma.github.io/Logging_1256/artfynd/A 40135-2022 artfynd.xlsx", "A 40135-2022")</f>
        <v/>
      </c>
      <c r="X50">
        <f>HYPERLINK("https://klasma.github.io/Logging_1256/kartor/A 40135-2022 karta.png", "A 40135-2022")</f>
        <v/>
      </c>
      <c r="Y50">
        <f>HYPERLINK("https://klasma.github.io/Logging_1256/kartor_geotiff/A 40135-2022 georefererad karta.tif", "A 40135-2022")</f>
        <v/>
      </c>
      <c r="AA50">
        <f>HYPERLINK("https://klasma.github.io/Logging_1256/klagomål/A 40135-2022 FSC-klagomål.docx", "A 40135-2022")</f>
        <v/>
      </c>
      <c r="AB50">
        <f>HYPERLINK("https://klasma.github.io/Logging_1256/klagomålsmail/A 40135-2022 FSC-klagomål mail.docx", "A 40135-2022")</f>
        <v/>
      </c>
      <c r="AC50">
        <f>HYPERLINK("https://klasma.github.io/Logging_1256/tillsyn/A 40135-2022 tillsynsbegäran.docx", "A 40135-2022")</f>
        <v/>
      </c>
      <c r="AD50">
        <f>HYPERLINK("https://klasma.github.io/Logging_1256/tillsynsmail/A 40135-2022 tillsynsbegäran mail.docx", "A 40135-2022")</f>
        <v/>
      </c>
    </row>
    <row r="51" ht="15" customHeight="1">
      <c r="A51" t="inlineStr">
        <is>
          <t>A 23400-2023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46304</v>
      </c>
      <c r="F51" t="inlineStr">
        <is>
          <t>SKÅNE LÄN</t>
        </is>
      </c>
      <c r="G51" t="inlineStr">
        <is>
          <t>ÖSTRA GÖINGE</t>
        </is>
      </c>
      <c r="I51" t="n">
        <v>5.1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HYPERLINK("https://klasma.github.io/Logging_1256/artfynd/A 23400-2023 artfynd.xlsx", "A 23400-2023")</f>
        <v/>
      </c>
      <c r="X51">
        <f>HYPERLINK("https://klasma.github.io/Logging_1256/kartor/A 23400-2023 karta.png", "A 23400-2023")</f>
        <v/>
      </c>
      <c r="Y51">
        <f>HYPERLINK("https://klasma.github.io/Logging_1256/kartor_geotiff/A 23400-2023 georefererad karta.tif", "A 23400-2023")</f>
        <v/>
      </c>
      <c r="AA51">
        <f>HYPERLINK("https://klasma.github.io/Logging_1256/klagomål/A 23400-2023 FSC-klagomål.docx", "A 23400-2023")</f>
        <v/>
      </c>
      <c r="AB51">
        <f>HYPERLINK("https://klasma.github.io/Logging_1256/klagomålsmail/A 23400-2023 FSC-klagomål mail.docx", "A 23400-2023")</f>
        <v/>
      </c>
      <c r="AC51">
        <f>HYPERLINK("https://klasma.github.io/Logging_1256/tillsyn/A 23400-2023 tillsynsbegäran.docx", "A 23400-2023")</f>
        <v/>
      </c>
      <c r="AD51">
        <f>HYPERLINK("https://klasma.github.io/Logging_1256/tillsynsmail/A 23400-2023 tillsynsbegäran mail.docx", "A 23400-2023")</f>
        <v/>
      </c>
    </row>
    <row r="52" ht="15" customHeight="1">
      <c r="A52" t="inlineStr">
        <is>
          <t>A 29273-2023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46304</v>
      </c>
      <c r="F52" t="inlineStr">
        <is>
          <t>SKÅNE LÄN</t>
        </is>
      </c>
      <c r="G52" t="inlineStr">
        <is>
          <t>ÖSTRA GÖINGE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Nötkråka</t>
        </is>
      </c>
      <c r="W52">
        <f>HYPERLINK("https://klasma.github.io/Logging_1256/artfynd/A 29273-2023 artfynd.xlsx", "A 29273-2023")</f>
        <v/>
      </c>
      <c r="X52">
        <f>HYPERLINK("https://klasma.github.io/Logging_1256/kartor/A 29273-2023 karta.png", "A 29273-2023")</f>
        <v/>
      </c>
      <c r="Y52">
        <f>HYPERLINK("https://klasma.github.io/Logging_1256/kartor_geotiff/A 29273-2023 georefererad karta.tif", "A 29273-2023")</f>
        <v/>
      </c>
      <c r="AA52">
        <f>HYPERLINK("https://klasma.github.io/Logging_1256/klagomål/A 29273-2023 FSC-klagomål.docx", "A 29273-2023")</f>
        <v/>
      </c>
      <c r="AB52">
        <f>HYPERLINK("https://klasma.github.io/Logging_1256/klagomålsmail/A 29273-2023 FSC-klagomål mail.docx", "A 29273-2023")</f>
        <v/>
      </c>
      <c r="AC52">
        <f>HYPERLINK("https://klasma.github.io/Logging_1256/tillsyn/A 29273-2023 tillsynsbegäran.docx", "A 29273-2023")</f>
        <v/>
      </c>
      <c r="AD52">
        <f>HYPERLINK("https://klasma.github.io/Logging_1256/tillsynsmail/A 29273-2023 tillsynsbegäran mail.docx", "A 29273-2023")</f>
        <v/>
      </c>
      <c r="AE52">
        <f>HYPERLINK("https://klasma.github.io/Logging_1256/fåglar/A 29273-2023 prioriterade fågelarter.docx", "A 29273-2023")</f>
        <v/>
      </c>
    </row>
    <row r="53" ht="15" customHeight="1">
      <c r="A53" t="inlineStr">
        <is>
          <t>A 5468-2024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45332</v>
      </c>
      <c r="E53" s="1" t="n">
        <v>46304</v>
      </c>
      <c r="F53" t="inlineStr">
        <is>
          <t>SKÅNE LÄN</t>
        </is>
      </c>
      <c r="G53" t="inlineStr">
        <is>
          <t>ÖSTRA GÖINGE</t>
        </is>
      </c>
      <c r="I53" t="n">
        <v>3.2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HYPERLINK("https://klasma.github.io/Logging_1256/artfynd/A 5468-2024 artfynd.xlsx", "A 5468-2024")</f>
        <v/>
      </c>
      <c r="X53">
        <f>HYPERLINK("https://klasma.github.io/Logging_1256/kartor/A 5468-2024 karta.png", "A 5468-2024")</f>
        <v/>
      </c>
      <c r="Y53">
        <f>HYPERLINK("https://klasma.github.io/Logging_1256/kartor_geotiff/A 5468-2024 georefererad karta.tif", "A 5468-2024")</f>
        <v/>
      </c>
      <c r="AA53">
        <f>HYPERLINK("https://klasma.github.io/Logging_1256/klagomål/A 5468-2024 FSC-klagomål.docx", "A 5468-2024")</f>
        <v/>
      </c>
      <c r="AB53">
        <f>HYPERLINK("https://klasma.github.io/Logging_1256/klagomålsmail/A 5468-2024 FSC-klagomål mail.docx", "A 5468-2024")</f>
        <v/>
      </c>
      <c r="AC53">
        <f>HYPERLINK("https://klasma.github.io/Logging_1256/tillsyn/A 5468-2024 tillsynsbegäran.docx", "A 5468-2024")</f>
        <v/>
      </c>
      <c r="AD53">
        <f>HYPERLINK("https://klasma.github.io/Logging_1256/tillsynsmail/A 5468-2024 tillsynsbegäran mail.docx", "A 5468-2024")</f>
        <v/>
      </c>
    </row>
    <row r="54" ht="15" customHeight="1">
      <c r="A54" t="inlineStr">
        <is>
          <t>A 4251-2023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44953</v>
      </c>
      <c r="E54" s="1" t="n">
        <v>46304</v>
      </c>
      <c r="F54" t="inlineStr">
        <is>
          <t>SKÅNE LÄN</t>
        </is>
      </c>
      <c r="G54" t="inlineStr">
        <is>
          <t>ÖSTRA GÖINGE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0</v>
      </c>
      <c r="V54" s="2" t="inlineStr">
        <is>
          <t>Ask</t>
        </is>
      </c>
      <c r="W54">
        <f>HYPERLINK("https://klasma.github.io/Logging_1256/artfynd/A 4251-2023 artfynd.xlsx", "A 4251-2023")</f>
        <v/>
      </c>
      <c r="X54">
        <f>HYPERLINK("https://klasma.github.io/Logging_1256/kartor/A 4251-2023 karta.png", "A 4251-2023")</f>
        <v/>
      </c>
      <c r="Y54">
        <f>HYPERLINK("https://klasma.github.io/Logging_1256/kartor_geotiff/A 4251-2023 georefererad karta.tif", "A 4251-2023")</f>
        <v/>
      </c>
      <c r="AA54">
        <f>HYPERLINK("https://klasma.github.io/Logging_1256/klagomål/A 4251-2023 FSC-klagomål.docx", "A 4251-2023")</f>
        <v/>
      </c>
      <c r="AB54">
        <f>HYPERLINK("https://klasma.github.io/Logging_1256/klagomålsmail/A 4251-2023 FSC-klagomål mail.docx", "A 4251-2023")</f>
        <v/>
      </c>
      <c r="AC54">
        <f>HYPERLINK("https://klasma.github.io/Logging_1256/tillsyn/A 4251-2023 tillsynsbegäran.docx", "A 4251-2023")</f>
        <v/>
      </c>
      <c r="AD54">
        <f>HYPERLINK("https://klasma.github.io/Logging_1256/tillsynsmail/A 4251-2023 tillsynsbegäran mail.docx", "A 4251-2023")</f>
        <v/>
      </c>
    </row>
    <row r="55" ht="15" customHeight="1">
      <c r="A55" t="inlineStr">
        <is>
          <t>A 26509-2025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46304</v>
      </c>
      <c r="F55" t="inlineStr">
        <is>
          <t>SKÅNE LÄN</t>
        </is>
      </c>
      <c r="G55" t="inlineStr">
        <is>
          <t>ÖSTRA GÖINGE</t>
        </is>
      </c>
      <c r="I55" t="n">
        <v>0.4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HYPERLINK("https://klasma.github.io/Logging_1256/artfynd/A 26509-2025 artfynd.xlsx", "A 26509-2025")</f>
        <v/>
      </c>
      <c r="X55">
        <f>HYPERLINK("https://klasma.github.io/Logging_1256/kartor/A 26509-2025 karta.png", "A 26509-2025")</f>
        <v/>
      </c>
      <c r="Y55">
        <f>HYPERLINK("https://klasma.github.io/Logging_1256/kartor_geotiff/A 26509-2025 georefererad karta.tif", "A 26509-2025")</f>
        <v/>
      </c>
      <c r="AA55">
        <f>HYPERLINK("https://klasma.github.io/Logging_1256/klagomål/A 26509-2025 FSC-klagomål.docx", "A 26509-2025")</f>
        <v/>
      </c>
      <c r="AB55">
        <f>HYPERLINK("https://klasma.github.io/Logging_1256/klagomålsmail/A 26509-2025 FSC-klagomål mail.docx", "A 26509-2025")</f>
        <v/>
      </c>
      <c r="AC55">
        <f>HYPERLINK("https://klasma.github.io/Logging_1256/tillsyn/A 26509-2025 tillsynsbegäran.docx", "A 26509-2025")</f>
        <v/>
      </c>
      <c r="AD55">
        <f>HYPERLINK("https://klasma.github.io/Logging_1256/tillsynsmail/A 26509-2025 tillsynsbegäran mail.docx", "A 26509-2025")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46304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46304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46304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46304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46304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46304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46304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46304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46304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46304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46304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46304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46304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46304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46304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46304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46304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46304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46304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46304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46304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46304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46304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46304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46304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46304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46304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46304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56443-2021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44480</v>
      </c>
      <c r="E84" s="1" t="n">
        <v>46304</v>
      </c>
      <c r="F84" t="inlineStr">
        <is>
          <t>SKÅNE LÄN</t>
        </is>
      </c>
      <c r="G84" t="inlineStr">
        <is>
          <t>ÖSTRA GÖINGE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46304</v>
      </c>
      <c r="F85" t="inlineStr">
        <is>
          <t>SKÅNE LÄN</t>
        </is>
      </c>
      <c r="G85" t="inlineStr">
        <is>
          <t>ÖSTRA GÖINGE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46304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44820</v>
      </c>
      <c r="E87" s="1" t="n">
        <v>46304</v>
      </c>
      <c r="F87" t="inlineStr">
        <is>
          <t>SKÅNE LÄN</t>
        </is>
      </c>
      <c r="G87" t="inlineStr">
        <is>
          <t>ÖSTRA GÖINGE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44598</v>
      </c>
      <c r="E88" s="1" t="n">
        <v>46304</v>
      </c>
      <c r="F88" t="inlineStr">
        <is>
          <t>SKÅNE LÄN</t>
        </is>
      </c>
      <c r="G88" t="inlineStr">
        <is>
          <t>ÖSTRA GÖINGE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44578</v>
      </c>
      <c r="E89" s="1" t="n">
        <v>46304</v>
      </c>
      <c r="F89" t="inlineStr">
        <is>
          <t>SKÅNE LÄN</t>
        </is>
      </c>
      <c r="G89" t="inlineStr">
        <is>
          <t>ÖSTRA GÖINGE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46304</v>
      </c>
      <c r="F90" t="inlineStr">
        <is>
          <t>SKÅNE LÄN</t>
        </is>
      </c>
      <c r="G90" t="inlineStr">
        <is>
          <t>ÖSTRA GÖINGE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44886</v>
      </c>
      <c r="E91" s="1" t="n">
        <v>46304</v>
      </c>
      <c r="F91" t="inlineStr">
        <is>
          <t>SKÅNE LÄN</t>
        </is>
      </c>
      <c r="G91" t="inlineStr">
        <is>
          <t>ÖSTRA GÖINGE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55495-2022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44887</v>
      </c>
      <c r="E92" s="1" t="n">
        <v>46304</v>
      </c>
      <c r="F92" t="inlineStr">
        <is>
          <t>SKÅNE LÄN</t>
        </is>
      </c>
      <c r="G92" t="inlineStr">
        <is>
          <t>ÖSTRA GÖINGE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44680</v>
      </c>
      <c r="E93" s="1" t="n">
        <v>46304</v>
      </c>
      <c r="F93" t="inlineStr">
        <is>
          <t>SKÅNE LÄN</t>
        </is>
      </c>
      <c r="G93" t="inlineStr">
        <is>
          <t>ÖSTRA GÖINGE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44796</v>
      </c>
      <c r="E94" s="1" t="n">
        <v>46304</v>
      </c>
      <c r="F94" t="inlineStr">
        <is>
          <t>SKÅNE LÄN</t>
        </is>
      </c>
      <c r="G94" t="inlineStr">
        <is>
          <t>ÖSTRA GÖINGE</t>
        </is>
      </c>
      <c r="H94" t="inlineStr">
        <is>
          <t>Kyrkan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44727</v>
      </c>
      <c r="E95" s="1" t="n">
        <v>46304</v>
      </c>
      <c r="F95" t="inlineStr">
        <is>
          <t>SKÅNE LÄN</t>
        </is>
      </c>
      <c r="G95" t="inlineStr">
        <is>
          <t>ÖSTRA GÖINGE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46304</v>
      </c>
      <c r="F96" t="inlineStr">
        <is>
          <t>SKÅNE LÄN</t>
        </is>
      </c>
      <c r="G96" t="inlineStr">
        <is>
          <t>ÖSTRA GÖINGE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44700</v>
      </c>
      <c r="E97" s="1" t="n">
        <v>46304</v>
      </c>
      <c r="F97" t="inlineStr">
        <is>
          <t>SKÅNE LÄN</t>
        </is>
      </c>
      <c r="G97" t="inlineStr">
        <is>
          <t>ÖSTRA GÖINGE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74112-2021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46304</v>
      </c>
      <c r="F98" t="inlineStr">
        <is>
          <t>SKÅNE LÄN</t>
        </is>
      </c>
      <c r="G98" t="inlineStr">
        <is>
          <t>ÖSTRA GÖINGE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54869-2023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46304</v>
      </c>
      <c r="F99" t="inlineStr">
        <is>
          <t>SKÅNE LÄN</t>
        </is>
      </c>
      <c r="G99" t="inlineStr">
        <is>
          <t>ÖSTRA GÖINGE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46304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74094-2021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46304</v>
      </c>
      <c r="F101" t="inlineStr">
        <is>
          <t>SKÅNE LÄN</t>
        </is>
      </c>
      <c r="G101" t="inlineStr">
        <is>
          <t>ÖSTRA GÖINGE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46304</v>
      </c>
      <c r="F102" t="inlineStr">
        <is>
          <t>SKÅNE LÄN</t>
        </is>
      </c>
      <c r="G102" t="inlineStr">
        <is>
          <t>ÖSTRA GÖINGE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44531</v>
      </c>
      <c r="E103" s="1" t="n">
        <v>46304</v>
      </c>
      <c r="F103" t="inlineStr">
        <is>
          <t>SKÅNE LÄN</t>
        </is>
      </c>
      <c r="G103" t="inlineStr">
        <is>
          <t>ÖSTRA GÖINGE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45142</v>
      </c>
      <c r="E104" s="1" t="n">
        <v>46304</v>
      </c>
      <c r="F104" t="inlineStr">
        <is>
          <t>SKÅNE LÄN</t>
        </is>
      </c>
      <c r="G104" t="inlineStr">
        <is>
          <t>ÖSTRA GÖINGE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46304</v>
      </c>
      <c r="F105" t="inlineStr">
        <is>
          <t>SKÅNE LÄN</t>
        </is>
      </c>
      <c r="G105" t="inlineStr">
        <is>
          <t>ÖSTRA GÖINGE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41777-2023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45176</v>
      </c>
      <c r="E106" s="1" t="n">
        <v>46304</v>
      </c>
      <c r="F106" t="inlineStr">
        <is>
          <t>SKÅNE LÄN</t>
        </is>
      </c>
      <c r="G106" t="inlineStr">
        <is>
          <t>ÖSTRA GÖINGE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45021</v>
      </c>
      <c r="E107" s="1" t="n">
        <v>46304</v>
      </c>
      <c r="F107" t="inlineStr">
        <is>
          <t>SKÅNE LÄN</t>
        </is>
      </c>
      <c r="G107" t="inlineStr">
        <is>
          <t>ÖSTRA GÖINGE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45082</v>
      </c>
      <c r="E108" s="1" t="n">
        <v>46304</v>
      </c>
      <c r="F108" t="inlineStr">
        <is>
          <t>SKÅNE LÄN</t>
        </is>
      </c>
      <c r="G108" t="inlineStr">
        <is>
          <t>ÖSTRA GÖINGE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58518-2024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45635</v>
      </c>
      <c r="E109" s="1" t="n">
        <v>46304</v>
      </c>
      <c r="F109" t="inlineStr">
        <is>
          <t>SKÅNE LÄN</t>
        </is>
      </c>
      <c r="G109" t="inlineStr">
        <is>
          <t>ÖSTRA GÖINGE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69384-2021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44531</v>
      </c>
      <c r="E110" s="1" t="n">
        <v>46304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34931-2023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45142</v>
      </c>
      <c r="E111" s="1" t="n">
        <v>46304</v>
      </c>
      <c r="F111" t="inlineStr">
        <is>
          <t>SKÅNE LÄN</t>
        </is>
      </c>
      <c r="G111" t="inlineStr">
        <is>
          <t>ÖSTRA GÖINGE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46304</v>
      </c>
      <c r="F112" t="inlineStr">
        <is>
          <t>SKÅNE LÄN</t>
        </is>
      </c>
      <c r="G112" t="inlineStr">
        <is>
          <t>ÖSTRA GÖINGE</t>
        </is>
      </c>
      <c r="I112" t="n">
        <v>10.4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24028-2022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44723</v>
      </c>
      <c r="E113" s="1" t="n">
        <v>46304</v>
      </c>
      <c r="F113" t="inlineStr">
        <is>
          <t>SKÅNE LÄN</t>
        </is>
      </c>
      <c r="G113" t="inlineStr">
        <is>
          <t>ÖSTRA GÖINGE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45307</v>
      </c>
      <c r="E114" s="1" t="n">
        <v>46304</v>
      </c>
      <c r="F114" t="inlineStr">
        <is>
          <t>SKÅNE LÄN</t>
        </is>
      </c>
      <c r="G114" t="inlineStr">
        <is>
          <t>ÖSTRA GÖINGE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46304</v>
      </c>
      <c r="F115" t="inlineStr">
        <is>
          <t>SKÅNE LÄN</t>
        </is>
      </c>
      <c r="G115" t="inlineStr">
        <is>
          <t>ÖSTRA GÖINGE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16287-2023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45022</v>
      </c>
      <c r="E116" s="1" t="n">
        <v>46304</v>
      </c>
      <c r="F116" t="inlineStr">
        <is>
          <t>SKÅNE LÄN</t>
        </is>
      </c>
      <c r="G116" t="inlineStr">
        <is>
          <t>ÖSTRA GÖINGE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46304</v>
      </c>
      <c r="F117" t="inlineStr">
        <is>
          <t>SKÅNE LÄN</t>
        </is>
      </c>
      <c r="G117" t="inlineStr">
        <is>
          <t>ÖSTRA GÖINGE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46304</v>
      </c>
      <c r="F118" t="inlineStr">
        <is>
          <t>SKÅNE LÄN</t>
        </is>
      </c>
      <c r="G118" t="inlineStr">
        <is>
          <t>ÖSTRA GÖINGE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45202</v>
      </c>
      <c r="E119" s="1" t="n">
        <v>46304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43395-2024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45568</v>
      </c>
      <c r="E120" s="1" t="n">
        <v>46304</v>
      </c>
      <c r="F120" t="inlineStr">
        <is>
          <t>SKÅNE LÄN</t>
        </is>
      </c>
      <c r="G120" t="inlineStr">
        <is>
          <t>ÖSTRA GÖINGE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46304</v>
      </c>
      <c r="F121" t="inlineStr">
        <is>
          <t>SKÅNE LÄN</t>
        </is>
      </c>
      <c r="G121" t="inlineStr">
        <is>
          <t>ÖSTRA GÖINGE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44949</v>
      </c>
      <c r="E122" s="1" t="n">
        <v>46304</v>
      </c>
      <c r="F122" t="inlineStr">
        <is>
          <t>SKÅNE LÄN</t>
        </is>
      </c>
      <c r="G122" t="inlineStr">
        <is>
          <t>ÖSTRA GÖINGE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45147</v>
      </c>
      <c r="E123" s="1" t="n">
        <v>46304</v>
      </c>
      <c r="F123" t="inlineStr">
        <is>
          <t>SKÅNE LÄN</t>
        </is>
      </c>
      <c r="G123" t="inlineStr">
        <is>
          <t>ÖSTRA GÖINGE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45727</v>
      </c>
      <c r="E124" s="1" t="n">
        <v>46304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45674</v>
      </c>
      <c r="E125" s="1" t="n">
        <v>46304</v>
      </c>
      <c r="F125" t="inlineStr">
        <is>
          <t>SKÅNE LÄN</t>
        </is>
      </c>
      <c r="G125" t="inlineStr">
        <is>
          <t>ÖSTRA GÖINGE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59188-2022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46304</v>
      </c>
      <c r="F126" t="inlineStr">
        <is>
          <t>SKÅNE LÄN</t>
        </is>
      </c>
      <c r="G126" t="inlineStr">
        <is>
          <t>ÖSTRA GÖINGE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45267</v>
      </c>
      <c r="E127" s="1" t="n">
        <v>46304</v>
      </c>
      <c r="F127" t="inlineStr">
        <is>
          <t>SKÅNE LÄN</t>
        </is>
      </c>
      <c r="G127" t="inlineStr">
        <is>
          <t>ÖSTRA GÖINGE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46304</v>
      </c>
      <c r="F128" t="inlineStr">
        <is>
          <t>SKÅNE LÄN</t>
        </is>
      </c>
      <c r="G128" t="inlineStr">
        <is>
          <t>ÖSTRA GÖINGE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44958</v>
      </c>
      <c r="E129" s="1" t="n">
        <v>46304</v>
      </c>
      <c r="F129" t="inlineStr">
        <is>
          <t>SKÅNE LÄN</t>
        </is>
      </c>
      <c r="G129" t="inlineStr">
        <is>
          <t>ÖSTRA GÖINGE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9538-2023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44981</v>
      </c>
      <c r="E130" s="1" t="n">
        <v>46304</v>
      </c>
      <c r="F130" t="inlineStr">
        <is>
          <t>SKÅNE LÄN</t>
        </is>
      </c>
      <c r="G130" t="inlineStr">
        <is>
          <t>ÖSTRA GÖINGE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46304</v>
      </c>
      <c r="F131" t="inlineStr">
        <is>
          <t>SKÅNE LÄN</t>
        </is>
      </c>
      <c r="G131" t="inlineStr">
        <is>
          <t>ÖSTRA GÖINGE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46304</v>
      </c>
      <c r="F132" t="inlineStr">
        <is>
          <t>SKÅNE LÄN</t>
        </is>
      </c>
      <c r="G132" t="inlineStr">
        <is>
          <t>ÖSTRA GÖINGE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46304</v>
      </c>
      <c r="F133" t="inlineStr">
        <is>
          <t>SKÅNE LÄN</t>
        </is>
      </c>
      <c r="G133" t="inlineStr">
        <is>
          <t>ÖSTRA GÖINGE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45259</v>
      </c>
      <c r="E134" s="1" t="n">
        <v>46304</v>
      </c>
      <c r="F134" t="inlineStr">
        <is>
          <t>SKÅNE LÄN</t>
        </is>
      </c>
      <c r="G134" t="inlineStr">
        <is>
          <t>ÖSTRA GÖINGE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45274</v>
      </c>
      <c r="E135" s="1" t="n">
        <v>46304</v>
      </c>
      <c r="F135" t="inlineStr">
        <is>
          <t>SKÅNE LÄN</t>
        </is>
      </c>
      <c r="G135" t="inlineStr">
        <is>
          <t>ÖSTRA GÖINGE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44886</v>
      </c>
      <c r="E136" s="1" t="n">
        <v>46304</v>
      </c>
      <c r="F136" t="inlineStr">
        <is>
          <t>SKÅNE LÄN</t>
        </is>
      </c>
      <c r="G136" t="inlineStr">
        <is>
          <t>ÖSTRA GÖINGE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44742</v>
      </c>
      <c r="E137" s="1" t="n">
        <v>46304</v>
      </c>
      <c r="F137" t="inlineStr">
        <is>
          <t>SKÅNE LÄN</t>
        </is>
      </c>
      <c r="G137" t="inlineStr">
        <is>
          <t>ÖSTRA GÖINGE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36324-2022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44803</v>
      </c>
      <c r="E138" s="1" t="n">
        <v>46304</v>
      </c>
      <c r="F138" t="inlineStr">
        <is>
          <t>SKÅNE LÄN</t>
        </is>
      </c>
      <c r="G138" t="inlineStr">
        <is>
          <t>ÖSTRA GÖINGE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61096-2022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44915</v>
      </c>
      <c r="E139" s="1" t="n">
        <v>46304</v>
      </c>
      <c r="F139" t="inlineStr">
        <is>
          <t>SKÅNE LÄN</t>
        </is>
      </c>
      <c r="G139" t="inlineStr">
        <is>
          <t>ÖSTRA GÖINGE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44043-2023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45188</v>
      </c>
      <c r="E140" s="1" t="n">
        <v>46304</v>
      </c>
      <c r="F140" t="inlineStr">
        <is>
          <t>SKÅNE LÄN</t>
        </is>
      </c>
      <c r="G140" t="inlineStr">
        <is>
          <t>ÖSTRA GÖINGE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57529-2022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44896</v>
      </c>
      <c r="E141" s="1" t="n">
        <v>46304</v>
      </c>
      <c r="F141" t="inlineStr">
        <is>
          <t>SKÅNE LÄN</t>
        </is>
      </c>
      <c r="G141" t="inlineStr">
        <is>
          <t>ÖSTRA GÖINGE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46304</v>
      </c>
      <c r="F142" t="inlineStr">
        <is>
          <t>SKÅNE LÄN</t>
        </is>
      </c>
      <c r="G142" t="inlineStr">
        <is>
          <t>ÖSTRA GÖINGE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46304</v>
      </c>
      <c r="F143" t="inlineStr">
        <is>
          <t>SKÅNE LÄN</t>
        </is>
      </c>
      <c r="G143" t="inlineStr">
        <is>
          <t>ÖSTRA GÖINGE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46304</v>
      </c>
      <c r="F144" t="inlineStr">
        <is>
          <t>SKÅNE LÄN</t>
        </is>
      </c>
      <c r="G144" t="inlineStr">
        <is>
          <t>ÖSTRA GÖINGE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46304</v>
      </c>
      <c r="F145" t="inlineStr">
        <is>
          <t>SKÅNE LÄN</t>
        </is>
      </c>
      <c r="G145" t="inlineStr">
        <is>
          <t>ÖSTRA GÖINGE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46304</v>
      </c>
      <c r="F146" t="inlineStr">
        <is>
          <t>SKÅNE LÄN</t>
        </is>
      </c>
      <c r="G146" t="inlineStr">
        <is>
          <t>ÖSTRA GÖINGE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45085</v>
      </c>
      <c r="E147" s="1" t="n">
        <v>46304</v>
      </c>
      <c r="F147" t="inlineStr">
        <is>
          <t>SKÅNE LÄN</t>
        </is>
      </c>
      <c r="G147" t="inlineStr">
        <is>
          <t>ÖSTRA GÖINGE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45227</v>
      </c>
      <c r="E148" s="1" t="n">
        <v>46304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45667</v>
      </c>
      <c r="E149" s="1" t="n">
        <v>46304</v>
      </c>
      <c r="F149" t="inlineStr">
        <is>
          <t>SKÅNE LÄN</t>
        </is>
      </c>
      <c r="G149" t="inlineStr">
        <is>
          <t>ÖSTRA GÖINGE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45320</v>
      </c>
      <c r="E150" s="1" t="n">
        <v>46304</v>
      </c>
      <c r="F150" t="inlineStr">
        <is>
          <t>SKÅNE LÄN</t>
        </is>
      </c>
      <c r="G150" t="inlineStr">
        <is>
          <t>ÖSTRA GÖINGE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45848</v>
      </c>
      <c r="E151" s="1" t="n">
        <v>46304</v>
      </c>
      <c r="F151" t="inlineStr">
        <is>
          <t>SKÅNE LÄN</t>
        </is>
      </c>
      <c r="G151" t="inlineStr">
        <is>
          <t>ÖSTRA GÖINGE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34690-2025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45848</v>
      </c>
      <c r="E152" s="1" t="n">
        <v>46304</v>
      </c>
      <c r="F152" t="inlineStr">
        <is>
          <t>SKÅNE LÄN</t>
        </is>
      </c>
      <c r="G152" t="inlineStr">
        <is>
          <t>ÖSTRA GÖINGE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46304</v>
      </c>
      <c r="F153" t="inlineStr">
        <is>
          <t>SKÅNE LÄN</t>
        </is>
      </c>
      <c r="G153" t="inlineStr">
        <is>
          <t>ÖSTRA GÖINGE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46304</v>
      </c>
      <c r="F154" t="inlineStr">
        <is>
          <t>SKÅNE LÄN</t>
        </is>
      </c>
      <c r="G154" t="inlineStr">
        <is>
          <t>ÖSTRA GÖINGE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56646-2023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46304</v>
      </c>
      <c r="F155" t="inlineStr">
        <is>
          <t>SKÅNE LÄN</t>
        </is>
      </c>
      <c r="G155" t="inlineStr">
        <is>
          <t>ÖSTRA GÖINGE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46304</v>
      </c>
      <c r="F156" t="inlineStr">
        <is>
          <t>SKÅNE LÄN</t>
        </is>
      </c>
      <c r="G156" t="inlineStr">
        <is>
          <t>ÖSTRA GÖINGE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35547-2023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45146</v>
      </c>
      <c r="E157" s="1" t="n">
        <v>46304</v>
      </c>
      <c r="F157" t="inlineStr">
        <is>
          <t>SKÅNE LÄN</t>
        </is>
      </c>
      <c r="G157" t="inlineStr">
        <is>
          <t>ÖSTRA GÖINGE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45758</v>
      </c>
      <c r="E158" s="1" t="n">
        <v>46304</v>
      </c>
      <c r="F158" t="inlineStr">
        <is>
          <t>SKÅNE LÄN</t>
        </is>
      </c>
      <c r="G158" t="inlineStr">
        <is>
          <t>ÖSTRA GÖINGE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46304</v>
      </c>
      <c r="F159" t="inlineStr">
        <is>
          <t>SKÅNE LÄN</t>
        </is>
      </c>
      <c r="G159" t="inlineStr">
        <is>
          <t>ÖSTRA GÖINGE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46304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46304</v>
      </c>
      <c r="F161" t="inlineStr">
        <is>
          <t>SKÅNE LÄN</t>
        </is>
      </c>
      <c r="G161" t="inlineStr">
        <is>
          <t>ÖSTRA GÖINGE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46304</v>
      </c>
      <c r="F162" t="inlineStr">
        <is>
          <t>SKÅNE LÄN</t>
        </is>
      </c>
      <c r="G162" t="inlineStr">
        <is>
          <t>ÖSTRA GÖINGE</t>
        </is>
      </c>
      <c r="H162" t="inlineStr">
        <is>
          <t>Kyrkan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46304</v>
      </c>
      <c r="F163" t="inlineStr">
        <is>
          <t>SKÅNE LÄN</t>
        </is>
      </c>
      <c r="G163" t="inlineStr">
        <is>
          <t>ÖSTRA GÖINGE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45601</v>
      </c>
      <c r="E164" s="1" t="n">
        <v>46304</v>
      </c>
      <c r="F164" t="inlineStr">
        <is>
          <t>SKÅNE LÄN</t>
        </is>
      </c>
      <c r="G164" t="inlineStr">
        <is>
          <t>ÖSTRA GÖINGE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45489</v>
      </c>
      <c r="E165" s="1" t="n">
        <v>46304</v>
      </c>
      <c r="F165" t="inlineStr">
        <is>
          <t>SKÅNE LÄN</t>
        </is>
      </c>
      <c r="G165" t="inlineStr">
        <is>
          <t>ÖSTRA GÖINGE</t>
        </is>
      </c>
      <c r="I165" t="n">
        <v>11.9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45686</v>
      </c>
      <c r="E166" s="1" t="n">
        <v>46304</v>
      </c>
      <c r="F166" t="inlineStr">
        <is>
          <t>SKÅNE LÄN</t>
        </is>
      </c>
      <c r="G166" t="inlineStr">
        <is>
          <t>ÖSTRA GÖINGE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6782-2022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44602</v>
      </c>
      <c r="E167" s="1" t="n">
        <v>46304</v>
      </c>
      <c r="F167" t="inlineStr">
        <is>
          <t>SKÅNE LÄN</t>
        </is>
      </c>
      <c r="G167" t="inlineStr">
        <is>
          <t>ÖSTRA GÖINGE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46304</v>
      </c>
      <c r="F168" t="inlineStr">
        <is>
          <t>SKÅNE LÄN</t>
        </is>
      </c>
      <c r="G168" t="inlineStr">
        <is>
          <t>ÖSTRA GÖINGE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46304</v>
      </c>
      <c r="F169" t="inlineStr">
        <is>
          <t>SKÅNE LÄN</t>
        </is>
      </c>
      <c r="G169" t="inlineStr">
        <is>
          <t>ÖSTRA GÖINGE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45316</v>
      </c>
      <c r="E170" s="1" t="n">
        <v>46304</v>
      </c>
      <c r="F170" t="inlineStr">
        <is>
          <t>SKÅNE LÄN</t>
        </is>
      </c>
      <c r="G170" t="inlineStr">
        <is>
          <t>ÖSTRA GÖINGE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45422</v>
      </c>
      <c r="E171" s="1" t="n">
        <v>46304</v>
      </c>
      <c r="F171" t="inlineStr">
        <is>
          <t>SKÅNE LÄN</t>
        </is>
      </c>
      <c r="G171" t="inlineStr">
        <is>
          <t>ÖSTRA GÖINGE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10937-2022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44627</v>
      </c>
      <c r="E172" s="1" t="n">
        <v>46304</v>
      </c>
      <c r="F172" t="inlineStr">
        <is>
          <t>SKÅNE LÄN</t>
        </is>
      </c>
      <c r="G172" t="inlineStr">
        <is>
          <t>ÖSTRA GÖINGE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44937</v>
      </c>
      <c r="E173" s="1" t="n">
        <v>46304</v>
      </c>
      <c r="F173" t="inlineStr">
        <is>
          <t>SKÅNE LÄN</t>
        </is>
      </c>
      <c r="G173" t="inlineStr">
        <is>
          <t>ÖSTRA GÖINGE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45245</v>
      </c>
      <c r="E174" s="1" t="n">
        <v>46304</v>
      </c>
      <c r="F174" t="inlineStr">
        <is>
          <t>SKÅNE LÄN</t>
        </is>
      </c>
      <c r="G174" t="inlineStr">
        <is>
          <t>ÖSTRA GÖINGE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71741-2021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44539</v>
      </c>
      <c r="E175" s="1" t="n">
        <v>46304</v>
      </c>
      <c r="F175" t="inlineStr">
        <is>
          <t>SKÅNE LÄN</t>
        </is>
      </c>
      <c r="G175" t="inlineStr">
        <is>
          <t>ÖSTRA GÖINGE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46304</v>
      </c>
      <c r="F176" t="inlineStr">
        <is>
          <t>SKÅNE LÄN</t>
        </is>
      </c>
      <c r="G176" t="inlineStr">
        <is>
          <t>ÖSTRA GÖINGE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46304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44914</v>
      </c>
      <c r="E178" s="1" t="n">
        <v>46304</v>
      </c>
      <c r="F178" t="inlineStr">
        <is>
          <t>SKÅNE LÄN</t>
        </is>
      </c>
      <c r="G178" t="inlineStr">
        <is>
          <t>ÖSTRA GÖINGE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46304</v>
      </c>
      <c r="F179" t="inlineStr">
        <is>
          <t>SKÅNE LÄN</t>
        </is>
      </c>
      <c r="G179" t="inlineStr">
        <is>
          <t>ÖSTRA GÖINGE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45581</v>
      </c>
      <c r="E180" s="1" t="n">
        <v>46304</v>
      </c>
      <c r="F180" t="inlineStr">
        <is>
          <t>SKÅNE LÄN</t>
        </is>
      </c>
      <c r="G180" t="inlineStr">
        <is>
          <t>ÖSTRA GÖINGE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46304</v>
      </c>
      <c r="F181" t="inlineStr">
        <is>
          <t>SKÅNE LÄN</t>
        </is>
      </c>
      <c r="G181" t="inlineStr">
        <is>
          <t>ÖSTRA GÖINGE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45331</v>
      </c>
      <c r="E182" s="1" t="n">
        <v>46304</v>
      </c>
      <c r="F182" t="inlineStr">
        <is>
          <t>SKÅNE LÄN</t>
        </is>
      </c>
      <c r="G182" t="inlineStr">
        <is>
          <t>ÖSTRA GÖINGE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44853</v>
      </c>
      <c r="E183" s="1" t="n">
        <v>46304</v>
      </c>
      <c r="F183" t="inlineStr">
        <is>
          <t>SKÅNE LÄN</t>
        </is>
      </c>
      <c r="G183" t="inlineStr">
        <is>
          <t>ÖSTRA GÖINGE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46304</v>
      </c>
      <c r="F184" t="inlineStr">
        <is>
          <t>SKÅNE LÄN</t>
        </is>
      </c>
      <c r="G184" t="inlineStr">
        <is>
          <t>ÖSTRA GÖINGE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46304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45268</v>
      </c>
      <c r="E186" s="1" t="n">
        <v>46304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45082</v>
      </c>
      <c r="E187" s="1" t="n">
        <v>46304</v>
      </c>
      <c r="F187" t="inlineStr">
        <is>
          <t>SKÅNE LÄN</t>
        </is>
      </c>
      <c r="G187" t="inlineStr">
        <is>
          <t>ÖSTRA GÖINGE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46304</v>
      </c>
      <c r="F188" t="inlineStr">
        <is>
          <t>SKÅNE LÄN</t>
        </is>
      </c>
      <c r="G188" t="inlineStr">
        <is>
          <t>ÖSTRA GÖINGE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45935</v>
      </c>
      <c r="E189" s="1" t="n">
        <v>46304</v>
      </c>
      <c r="F189" t="inlineStr">
        <is>
          <t>SKÅNE LÄN</t>
        </is>
      </c>
      <c r="G189" t="inlineStr">
        <is>
          <t>ÖSTRA GÖINGE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57539-2022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46304</v>
      </c>
      <c r="F190" t="inlineStr">
        <is>
          <t>SKÅNE LÄN</t>
        </is>
      </c>
      <c r="G190" t="inlineStr">
        <is>
          <t>ÖSTRA GÖINGE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46304</v>
      </c>
      <c r="F191" t="inlineStr">
        <is>
          <t>SKÅNE LÄN</t>
        </is>
      </c>
      <c r="G191" t="inlineStr">
        <is>
          <t>ÖSTRA GÖINGE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45203</v>
      </c>
      <c r="E192" s="1" t="n">
        <v>46304</v>
      </c>
      <c r="F192" t="inlineStr">
        <is>
          <t>SKÅNE LÄN</t>
        </is>
      </c>
      <c r="G192" t="inlineStr">
        <is>
          <t>ÖSTRA GÖINGE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46304</v>
      </c>
      <c r="F193" t="inlineStr">
        <is>
          <t>SKÅNE LÄN</t>
        </is>
      </c>
      <c r="G193" t="inlineStr">
        <is>
          <t>ÖSTRA GÖINGE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46304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45410</v>
      </c>
      <c r="E195" s="1" t="n">
        <v>46304</v>
      </c>
      <c r="F195" t="inlineStr">
        <is>
          <t>SKÅNE LÄN</t>
        </is>
      </c>
      <c r="G195" t="inlineStr">
        <is>
          <t>ÖSTRA GÖINGE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45172</v>
      </c>
      <c r="E196" s="1" t="n">
        <v>46304</v>
      </c>
      <c r="F196" t="inlineStr">
        <is>
          <t>SKÅNE LÄN</t>
        </is>
      </c>
      <c r="G196" t="inlineStr">
        <is>
          <t>ÖSTRA GÖINGE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45029</v>
      </c>
      <c r="E197" s="1" t="n">
        <v>46304</v>
      </c>
      <c r="F197" t="inlineStr">
        <is>
          <t>SKÅNE LÄN</t>
        </is>
      </c>
      <c r="G197" t="inlineStr">
        <is>
          <t>ÖSTRA GÖINGE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46304</v>
      </c>
      <c r="F198" t="inlineStr">
        <is>
          <t>SKÅNE LÄN</t>
        </is>
      </c>
      <c r="G198" t="inlineStr">
        <is>
          <t>ÖSTRA GÖINGE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46304</v>
      </c>
      <c r="F199" t="inlineStr">
        <is>
          <t>SKÅNE LÄN</t>
        </is>
      </c>
      <c r="G199" t="inlineStr">
        <is>
          <t>ÖSTRA GÖINGE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44852</v>
      </c>
      <c r="E200" s="1" t="n">
        <v>46304</v>
      </c>
      <c r="F200" t="inlineStr">
        <is>
          <t>SKÅNE LÄN</t>
        </is>
      </c>
      <c r="G200" t="inlineStr">
        <is>
          <t>ÖSTRA GÖINGE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46304</v>
      </c>
      <c r="F201" t="inlineStr">
        <is>
          <t>SKÅNE LÄN</t>
        </is>
      </c>
      <c r="G201" t="inlineStr">
        <is>
          <t>ÖSTRA GÖINGE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46304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46304</v>
      </c>
      <c r="F203" t="inlineStr">
        <is>
          <t>SKÅNE LÄN</t>
        </is>
      </c>
      <c r="G203" t="inlineStr">
        <is>
          <t>ÖSTRA GÖINGE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46304</v>
      </c>
      <c r="F204" t="inlineStr">
        <is>
          <t>SKÅNE LÄN</t>
        </is>
      </c>
      <c r="G204" t="inlineStr">
        <is>
          <t>ÖSTRA GÖINGE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46304</v>
      </c>
      <c r="F205" t="inlineStr">
        <is>
          <t>SKÅNE LÄN</t>
        </is>
      </c>
      <c r="G205" t="inlineStr">
        <is>
          <t>ÖSTRA GÖINGE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45970</v>
      </c>
      <c r="E206" s="1" t="n">
        <v>46304</v>
      </c>
      <c r="F206" t="inlineStr">
        <is>
          <t>SKÅNE LÄN</t>
        </is>
      </c>
      <c r="G206" t="inlineStr">
        <is>
          <t>ÖSTRA GÖINGE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45680</v>
      </c>
      <c r="E207" s="1" t="n">
        <v>46304</v>
      </c>
      <c r="F207" t="inlineStr">
        <is>
          <t>SKÅNE LÄN</t>
        </is>
      </c>
      <c r="G207" t="inlineStr">
        <is>
          <t>ÖSTRA GÖINGE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46304</v>
      </c>
      <c r="F208" t="inlineStr">
        <is>
          <t>SKÅNE LÄN</t>
        </is>
      </c>
      <c r="G208" t="inlineStr">
        <is>
          <t>ÖSTRA GÖINGE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46304</v>
      </c>
      <c r="F209" t="inlineStr">
        <is>
          <t>SKÅNE LÄN</t>
        </is>
      </c>
      <c r="G209" t="inlineStr">
        <is>
          <t>ÖSTRA GÖINGE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45972</v>
      </c>
      <c r="E210" s="1" t="n">
        <v>46304</v>
      </c>
      <c r="F210" t="inlineStr">
        <is>
          <t>SKÅNE LÄN</t>
        </is>
      </c>
      <c r="G210" t="inlineStr">
        <is>
          <t>ÖSTRA GÖINGE</t>
        </is>
      </c>
      <c r="H210" t="inlineStr">
        <is>
          <t>Sveaskog</t>
        </is>
      </c>
      <c r="I210" t="n">
        <v>11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44606</v>
      </c>
      <c r="E211" s="1" t="n">
        <v>46304</v>
      </c>
      <c r="F211" t="inlineStr">
        <is>
          <t>SKÅNE LÄN</t>
        </is>
      </c>
      <c r="G211" t="inlineStr">
        <is>
          <t>ÖSTRA GÖINGE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46304</v>
      </c>
      <c r="F212" t="inlineStr">
        <is>
          <t>SKÅNE LÄN</t>
        </is>
      </c>
      <c r="G212" t="inlineStr">
        <is>
          <t>ÖSTRA GÖINGE</t>
        </is>
      </c>
      <c r="I212" t="n">
        <v>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45254</v>
      </c>
      <c r="E213" s="1" t="n">
        <v>46304</v>
      </c>
      <c r="F213" t="inlineStr">
        <is>
          <t>SKÅNE LÄN</t>
        </is>
      </c>
      <c r="G213" t="inlineStr">
        <is>
          <t>ÖSTRA GÖINGE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45147</v>
      </c>
      <c r="E214" s="1" t="n">
        <v>46304</v>
      </c>
      <c r="F214" t="inlineStr">
        <is>
          <t>SKÅNE LÄN</t>
        </is>
      </c>
      <c r="G214" t="inlineStr">
        <is>
          <t>ÖSTRA GÖINGE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46304</v>
      </c>
      <c r="F215" t="inlineStr">
        <is>
          <t>SKÅNE LÄN</t>
        </is>
      </c>
      <c r="G215" t="inlineStr">
        <is>
          <t>ÖSTRA GÖINGE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46304</v>
      </c>
      <c r="F216" t="inlineStr">
        <is>
          <t>SKÅNE LÄN</t>
        </is>
      </c>
      <c r="G216" t="inlineStr">
        <is>
          <t>ÖSTRA GÖINGE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45184</v>
      </c>
      <c r="E217" s="1" t="n">
        <v>46304</v>
      </c>
      <c r="F217" t="inlineStr">
        <is>
          <t>SKÅNE LÄN</t>
        </is>
      </c>
      <c r="G217" t="inlineStr">
        <is>
          <t>ÖSTRA GÖINGE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46132</v>
      </c>
      <c r="E218" s="1" t="n">
        <v>46304</v>
      </c>
      <c r="F218" t="inlineStr">
        <is>
          <t>SKÅNE LÄN</t>
        </is>
      </c>
      <c r="G218" t="inlineStr">
        <is>
          <t>ÖSTRA GÖINGE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46304</v>
      </c>
      <c r="F219" t="inlineStr">
        <is>
          <t>SKÅNE LÄN</t>
        </is>
      </c>
      <c r="G219" t="inlineStr">
        <is>
          <t>ÖSTRA GÖINGE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46133</v>
      </c>
      <c r="E220" s="1" t="n">
        <v>46304</v>
      </c>
      <c r="F220" t="inlineStr">
        <is>
          <t>SKÅNE LÄN</t>
        </is>
      </c>
      <c r="G220" t="inlineStr">
        <is>
          <t>ÖSTRA GÖINGE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45980</v>
      </c>
      <c r="E221" s="1" t="n">
        <v>46304</v>
      </c>
      <c r="F221" t="inlineStr">
        <is>
          <t>SKÅNE LÄN</t>
        </is>
      </c>
      <c r="G221" t="inlineStr">
        <is>
          <t>ÖSTRA GÖINGE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46133</v>
      </c>
      <c r="E222" s="1" t="n">
        <v>46304</v>
      </c>
      <c r="F222" t="inlineStr">
        <is>
          <t>SKÅNE LÄN</t>
        </is>
      </c>
      <c r="G222" t="inlineStr">
        <is>
          <t>ÖSTRA GÖINGE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46304</v>
      </c>
      <c r="F223" t="inlineStr">
        <is>
          <t>SKÅNE LÄN</t>
        </is>
      </c>
      <c r="G223" t="inlineStr">
        <is>
          <t>ÖSTRA GÖINGE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46304</v>
      </c>
      <c r="F224" t="inlineStr">
        <is>
          <t>SKÅNE LÄN</t>
        </is>
      </c>
      <c r="G224" t="inlineStr">
        <is>
          <t>ÖSTRA GÖINGE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44897</v>
      </c>
      <c r="E225" s="1" t="n">
        <v>46304</v>
      </c>
      <c r="F225" t="inlineStr">
        <is>
          <t>SKÅNE LÄN</t>
        </is>
      </c>
      <c r="G225" t="inlineStr">
        <is>
          <t>ÖSTRA GÖINGE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45069</v>
      </c>
      <c r="E226" s="1" t="n">
        <v>46304</v>
      </c>
      <c r="F226" t="inlineStr">
        <is>
          <t>SKÅNE LÄN</t>
        </is>
      </c>
      <c r="G226" t="inlineStr">
        <is>
          <t>ÖSTRA GÖINGE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19231-2026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46132</v>
      </c>
      <c r="E227" s="1" t="n">
        <v>46304</v>
      </c>
      <c r="F227" t="inlineStr">
        <is>
          <t>SKÅNE LÄN</t>
        </is>
      </c>
      <c r="G227" t="inlineStr">
        <is>
          <t>ÖSTRA GÖINGE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69383-2021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46304</v>
      </c>
      <c r="F228" t="inlineStr">
        <is>
          <t>SKÅNE LÄN</t>
        </is>
      </c>
      <c r="G228" t="inlineStr">
        <is>
          <t>ÖSTRA GÖINGE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69390-2021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46304</v>
      </c>
      <c r="F229" t="inlineStr">
        <is>
          <t>SKÅNE LÄN</t>
        </is>
      </c>
      <c r="G229" t="inlineStr">
        <is>
          <t>ÖSTRA GÖINGE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62052-2022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44918</v>
      </c>
      <c r="E230" s="1" t="n">
        <v>46304</v>
      </c>
      <c r="F230" t="inlineStr">
        <is>
          <t>SKÅNE LÄN</t>
        </is>
      </c>
      <c r="G230" t="inlineStr">
        <is>
          <t>ÖSTRA GÖINGE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46132</v>
      </c>
      <c r="E231" s="1" t="n">
        <v>46304</v>
      </c>
      <c r="F231" t="inlineStr">
        <is>
          <t>SKÅNE LÄN</t>
        </is>
      </c>
      <c r="G231" t="inlineStr">
        <is>
          <t>ÖSTRA GÖINGE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37303-2023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45156</v>
      </c>
      <c r="E232" s="1" t="n">
        <v>46304</v>
      </c>
      <c r="F232" t="inlineStr">
        <is>
          <t>SKÅNE LÄN</t>
        </is>
      </c>
      <c r="G232" t="inlineStr">
        <is>
          <t>ÖSTRA GÖINGE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46304</v>
      </c>
      <c r="F233" t="inlineStr">
        <is>
          <t>SKÅNE LÄN</t>
        </is>
      </c>
      <c r="G233" t="inlineStr">
        <is>
          <t>ÖSTRA GÖINGE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46304</v>
      </c>
      <c r="F234" t="inlineStr">
        <is>
          <t>SKÅNE LÄN</t>
        </is>
      </c>
      <c r="G234" t="inlineStr">
        <is>
          <t>ÖSTRA GÖINGE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46132</v>
      </c>
      <c r="E235" s="1" t="n">
        <v>46304</v>
      </c>
      <c r="F235" t="inlineStr">
        <is>
          <t>SKÅNE LÄN</t>
        </is>
      </c>
      <c r="G235" t="inlineStr">
        <is>
          <t>ÖSTRA GÖINGE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64181-2023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45279</v>
      </c>
      <c r="E236" s="1" t="n">
        <v>46304</v>
      </c>
      <c r="F236" t="inlineStr">
        <is>
          <t>SKÅNE LÄN</t>
        </is>
      </c>
      <c r="G236" t="inlineStr">
        <is>
          <t>ÖSTRA GÖINGE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60018-2025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45993</v>
      </c>
      <c r="E237" s="1" t="n">
        <v>46304</v>
      </c>
      <c r="F237" t="inlineStr">
        <is>
          <t>SKÅNE LÄN</t>
        </is>
      </c>
      <c r="G237" t="inlineStr">
        <is>
          <t>ÖSTRA GÖINGE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45622</v>
      </c>
      <c r="E238" s="1" t="n">
        <v>46304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46304</v>
      </c>
      <c r="F239" t="inlineStr">
        <is>
          <t>SKÅNE LÄN</t>
        </is>
      </c>
      <c r="G239" t="inlineStr">
        <is>
          <t>ÖSTRA GÖINGE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46304</v>
      </c>
      <c r="F240" t="inlineStr">
        <is>
          <t>SKÅNE LÄN</t>
        </is>
      </c>
      <c r="G240" t="inlineStr">
        <is>
          <t>ÖSTRA GÖINGE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29284-2023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45105</v>
      </c>
      <c r="E241" s="1" t="n">
        <v>46304</v>
      </c>
      <c r="F241" t="inlineStr">
        <is>
          <t>SKÅNE LÄN</t>
        </is>
      </c>
      <c r="G241" t="inlineStr">
        <is>
          <t>ÖSTRA GÖINGE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28858-2025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46304</v>
      </c>
      <c r="F242" t="inlineStr">
        <is>
          <t>SKÅNE LÄN</t>
        </is>
      </c>
      <c r="G242" t="inlineStr">
        <is>
          <t>ÖSTRA GÖINGE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44956</v>
      </c>
      <c r="E243" s="1" t="n">
        <v>46304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46304</v>
      </c>
      <c r="F244" t="inlineStr">
        <is>
          <t>SKÅNE LÄN</t>
        </is>
      </c>
      <c r="G244" t="inlineStr">
        <is>
          <t>ÖSTRA GÖINGE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45967</v>
      </c>
      <c r="E245" s="1" t="n">
        <v>46304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49795-2025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46304</v>
      </c>
      <c r="F246" t="inlineStr">
        <is>
          <t>SKÅNE LÄN</t>
        </is>
      </c>
      <c r="G246" t="inlineStr">
        <is>
          <t>ÖSTRA GÖINGE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44977</v>
      </c>
      <c r="E247" s="1" t="n">
        <v>46304</v>
      </c>
      <c r="F247" t="inlineStr">
        <is>
          <t>SKÅNE LÄN</t>
        </is>
      </c>
      <c r="G247" t="inlineStr">
        <is>
          <t>ÖSTRA GÖINGE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46304</v>
      </c>
      <c r="F248" t="inlineStr">
        <is>
          <t>SKÅNE LÄN</t>
        </is>
      </c>
      <c r="G248" t="inlineStr">
        <is>
          <t>ÖSTRA GÖINGE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45146</v>
      </c>
      <c r="E249" s="1" t="n">
        <v>46304</v>
      </c>
      <c r="F249" t="inlineStr">
        <is>
          <t>SKÅNE LÄN</t>
        </is>
      </c>
      <c r="G249" t="inlineStr">
        <is>
          <t>ÖSTRA GÖINGE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46304</v>
      </c>
      <c r="F250" t="inlineStr">
        <is>
          <t>SKÅNE LÄN</t>
        </is>
      </c>
      <c r="G250" t="inlineStr">
        <is>
          <t>ÖSTRA GÖINGE</t>
        </is>
      </c>
      <c r="H250" t="inlineStr">
        <is>
          <t>Sveaskog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45804</v>
      </c>
      <c r="E251" s="1" t="n">
        <v>46304</v>
      </c>
      <c r="F251" t="inlineStr">
        <is>
          <t>SKÅNE LÄN</t>
        </is>
      </c>
      <c r="G251" t="inlineStr">
        <is>
          <t>ÖSTRA GÖINGE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45209</v>
      </c>
      <c r="E252" s="1" t="n">
        <v>46304</v>
      </c>
      <c r="F252" t="inlineStr">
        <is>
          <t>SKÅNE LÄN</t>
        </is>
      </c>
      <c r="G252" t="inlineStr">
        <is>
          <t>ÖSTRA GÖINGE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44873</v>
      </c>
      <c r="E253" s="1" t="n">
        <v>46304</v>
      </c>
      <c r="F253" t="inlineStr">
        <is>
          <t>SKÅNE LÄN</t>
        </is>
      </c>
      <c r="G253" t="inlineStr">
        <is>
          <t>ÖSTRA GÖINGE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63154-2025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46304</v>
      </c>
      <c r="F254" t="inlineStr">
        <is>
          <t>SKÅNE LÄN</t>
        </is>
      </c>
      <c r="G254" t="inlineStr">
        <is>
          <t>ÖSTRA GÖINGE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45758</v>
      </c>
      <c r="E255" s="1" t="n">
        <v>46304</v>
      </c>
      <c r="F255" t="inlineStr">
        <is>
          <t>SKÅNE LÄN</t>
        </is>
      </c>
      <c r="G255" t="inlineStr">
        <is>
          <t>ÖSTRA GÖINGE</t>
        </is>
      </c>
      <c r="H255" t="inlineStr">
        <is>
          <t>Sveaskog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45758</v>
      </c>
      <c r="E256" s="1" t="n">
        <v>46304</v>
      </c>
      <c r="F256" t="inlineStr">
        <is>
          <t>SKÅNE LÄN</t>
        </is>
      </c>
      <c r="G256" t="inlineStr">
        <is>
          <t>ÖSTRA GÖINGE</t>
        </is>
      </c>
      <c r="H256" t="inlineStr">
        <is>
          <t>Sveaskog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16505-2024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45408</v>
      </c>
      <c r="E257" s="1" t="n">
        <v>46304</v>
      </c>
      <c r="F257" t="inlineStr">
        <is>
          <t>SKÅNE LÄN</t>
        </is>
      </c>
      <c r="G257" t="inlineStr">
        <is>
          <t>ÖSTRA GÖINGE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45408</v>
      </c>
      <c r="E258" s="1" t="n">
        <v>46304</v>
      </c>
      <c r="F258" t="inlineStr">
        <is>
          <t>SKÅNE LÄN</t>
        </is>
      </c>
      <c r="G258" t="inlineStr">
        <is>
          <t>ÖSTRA GÖINGE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45139</v>
      </c>
      <c r="E259" s="1" t="n">
        <v>46304</v>
      </c>
      <c r="F259" t="inlineStr">
        <is>
          <t>SKÅNE LÄN</t>
        </is>
      </c>
      <c r="G259" t="inlineStr">
        <is>
          <t>ÖSTRA GÖINGE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46304</v>
      </c>
      <c r="F260" t="inlineStr">
        <is>
          <t>SKÅNE LÄN</t>
        </is>
      </c>
      <c r="G260" t="inlineStr">
        <is>
          <t>ÖSTRA GÖINGE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45443</v>
      </c>
      <c r="E261" s="1" t="n">
        <v>46304</v>
      </c>
      <c r="F261" t="inlineStr">
        <is>
          <t>SKÅNE LÄN</t>
        </is>
      </c>
      <c r="G261" t="inlineStr">
        <is>
          <t>ÖSTRA GÖINGE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46304</v>
      </c>
      <c r="F262" t="inlineStr">
        <is>
          <t>SKÅNE LÄN</t>
        </is>
      </c>
      <c r="G262" t="inlineStr">
        <is>
          <t>ÖSTRA GÖINGE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66526-2021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44519</v>
      </c>
      <c r="E263" s="1" t="n">
        <v>46304</v>
      </c>
      <c r="F263" t="inlineStr">
        <is>
          <t>SKÅNE LÄN</t>
        </is>
      </c>
      <c r="G263" t="inlineStr">
        <is>
          <t>ÖSTRA GÖINGE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44929</v>
      </c>
      <c r="E264" s="1" t="n">
        <v>46304</v>
      </c>
      <c r="F264" t="inlineStr">
        <is>
          <t>SKÅNE LÄN</t>
        </is>
      </c>
      <c r="G264" t="inlineStr">
        <is>
          <t>ÖSTRA GÖINGE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46304</v>
      </c>
      <c r="F265" t="inlineStr">
        <is>
          <t>SKÅNE LÄN</t>
        </is>
      </c>
      <c r="G265" t="inlineStr">
        <is>
          <t>ÖSTRA GÖINGE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46304</v>
      </c>
      <c r="F266" t="inlineStr">
        <is>
          <t>SKÅNE LÄN</t>
        </is>
      </c>
      <c r="G266" t="inlineStr">
        <is>
          <t>ÖSTRA GÖINGE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46304</v>
      </c>
      <c r="F267" t="inlineStr">
        <is>
          <t>SKÅNE LÄN</t>
        </is>
      </c>
      <c r="G267" t="inlineStr">
        <is>
          <t>ÖSTRA GÖINGE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46304</v>
      </c>
      <c r="F268" t="inlineStr">
        <is>
          <t>SKÅNE LÄN</t>
        </is>
      </c>
      <c r="G268" t="inlineStr">
        <is>
          <t>ÖSTRA GÖINGE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46304</v>
      </c>
      <c r="F269" t="inlineStr">
        <is>
          <t>SKÅNE LÄN</t>
        </is>
      </c>
      <c r="G269" t="inlineStr">
        <is>
          <t>ÖSTRA GÖINGE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45386</v>
      </c>
      <c r="E270" s="1" t="n">
        <v>46304</v>
      </c>
      <c r="F270" t="inlineStr">
        <is>
          <t>SKÅNE LÄN</t>
        </is>
      </c>
      <c r="G270" t="inlineStr">
        <is>
          <t>ÖSTRA GÖINGE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46304</v>
      </c>
      <c r="F271" t="inlineStr">
        <is>
          <t>SKÅNE LÄN</t>
        </is>
      </c>
      <c r="G271" t="inlineStr">
        <is>
          <t>ÖSTRA GÖINGE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46304</v>
      </c>
      <c r="F272" t="inlineStr">
        <is>
          <t>SKÅNE LÄN</t>
        </is>
      </c>
      <c r="G272" t="inlineStr">
        <is>
          <t>ÖSTRA GÖINGE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46304</v>
      </c>
      <c r="F273" t="inlineStr">
        <is>
          <t>SKÅNE LÄN</t>
        </is>
      </c>
      <c r="G273" t="inlineStr">
        <is>
          <t>ÖSTRA GÖINGE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44686</v>
      </c>
      <c r="E274" s="1" t="n">
        <v>46304</v>
      </c>
      <c r="F274" t="inlineStr">
        <is>
          <t>SKÅNE LÄN</t>
        </is>
      </c>
      <c r="G274" t="inlineStr">
        <is>
          <t>ÖSTRA GÖINGE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20407-2024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45435</v>
      </c>
      <c r="E275" s="1" t="n">
        <v>46304</v>
      </c>
      <c r="F275" t="inlineStr">
        <is>
          <t>SKÅNE LÄN</t>
        </is>
      </c>
      <c r="G275" t="inlineStr">
        <is>
          <t>ÖSTRA GÖINGE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46304</v>
      </c>
      <c r="F276" t="inlineStr">
        <is>
          <t>SKÅNE LÄN</t>
        </is>
      </c>
      <c r="G276" t="inlineStr">
        <is>
          <t>ÖSTRA GÖINGE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45091</v>
      </c>
      <c r="E277" s="1" t="n">
        <v>46304</v>
      </c>
      <c r="F277" t="inlineStr">
        <is>
          <t>SKÅNE LÄN</t>
        </is>
      </c>
      <c r="G277" t="inlineStr">
        <is>
          <t>ÖSTRA GÖINGE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45278</v>
      </c>
      <c r="E278" s="1" t="n">
        <v>46304</v>
      </c>
      <c r="F278" t="inlineStr">
        <is>
          <t>SKÅNE LÄN</t>
        </is>
      </c>
      <c r="G278" t="inlineStr">
        <is>
          <t>ÖSTRA GÖINGE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46304</v>
      </c>
      <c r="F279" t="inlineStr">
        <is>
          <t>SKÅNE LÄN</t>
        </is>
      </c>
      <c r="G279" t="inlineStr">
        <is>
          <t>ÖSTRA GÖINGE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42192-2023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45179</v>
      </c>
      <c r="E280" s="1" t="n">
        <v>46304</v>
      </c>
      <c r="F280" t="inlineStr">
        <is>
          <t>SKÅNE LÄN</t>
        </is>
      </c>
      <c r="G280" t="inlineStr">
        <is>
          <t>ÖSTRA GÖINGE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46304</v>
      </c>
      <c r="F281" t="inlineStr">
        <is>
          <t>SKÅNE LÄN</t>
        </is>
      </c>
      <c r="G281" t="inlineStr">
        <is>
          <t>ÖSTRA GÖINGE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45777-2025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46304</v>
      </c>
      <c r="F282" t="inlineStr">
        <is>
          <t>SKÅNE LÄN</t>
        </is>
      </c>
      <c r="G282" t="inlineStr">
        <is>
          <t>ÖSTRA GÖINGE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46304</v>
      </c>
      <c r="F283" t="inlineStr">
        <is>
          <t>SKÅNE LÄN</t>
        </is>
      </c>
      <c r="G283" t="inlineStr">
        <is>
          <t>ÖSTRA GÖINGE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60251-2022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44910</v>
      </c>
      <c r="E284" s="1" t="n">
        <v>46304</v>
      </c>
      <c r="F284" t="inlineStr">
        <is>
          <t>SKÅNE LÄN</t>
        </is>
      </c>
      <c r="G284" t="inlineStr">
        <is>
          <t>ÖSTRA GÖINGE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46304</v>
      </c>
      <c r="F285" t="inlineStr">
        <is>
          <t>SKÅNE LÄN</t>
        </is>
      </c>
      <c r="G285" t="inlineStr">
        <is>
          <t>ÖSTRA GÖINGE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46304</v>
      </c>
      <c r="F286" t="inlineStr">
        <is>
          <t>SKÅNE LÄN</t>
        </is>
      </c>
      <c r="G286" t="inlineStr">
        <is>
          <t>ÖSTRA GÖINGE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45568</v>
      </c>
      <c r="E287" s="1" t="n">
        <v>46304</v>
      </c>
      <c r="F287" t="inlineStr">
        <is>
          <t>SKÅNE LÄN</t>
        </is>
      </c>
      <c r="G287" t="inlineStr">
        <is>
          <t>ÖSTRA GÖINGE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41548-2022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44826</v>
      </c>
      <c r="E288" s="1" t="n">
        <v>46304</v>
      </c>
      <c r="F288" t="inlineStr">
        <is>
          <t>SKÅNE LÄN</t>
        </is>
      </c>
      <c r="G288" t="inlineStr">
        <is>
          <t>ÖSTRA GÖINGE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46304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7057-2026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46057</v>
      </c>
      <c r="E290" s="1" t="n">
        <v>46304</v>
      </c>
      <c r="F290" t="inlineStr">
        <is>
          <t>SKÅNE LÄN</t>
        </is>
      </c>
      <c r="G290" t="inlineStr">
        <is>
          <t>ÖSTRA GÖINGE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46304</v>
      </c>
      <c r="F291" t="inlineStr">
        <is>
          <t>SKÅNE LÄN</t>
        </is>
      </c>
      <c r="G291" t="inlineStr">
        <is>
          <t>ÖSTRA GÖINGE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45321</v>
      </c>
      <c r="E292" s="1" t="n">
        <v>46304</v>
      </c>
      <c r="F292" t="inlineStr">
        <is>
          <t>SKÅNE LÄN</t>
        </is>
      </c>
      <c r="G292" t="inlineStr">
        <is>
          <t>ÖSTRA GÖINGE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45349</v>
      </c>
      <c r="E293" s="1" t="n">
        <v>46304</v>
      </c>
      <c r="F293" t="inlineStr">
        <is>
          <t>SKÅNE LÄN</t>
        </is>
      </c>
      <c r="G293" t="inlineStr">
        <is>
          <t>ÖSTRA GÖINGE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44981</v>
      </c>
      <c r="E294" s="1" t="n">
        <v>46304</v>
      </c>
      <c r="F294" t="inlineStr">
        <is>
          <t>SKÅNE LÄN</t>
        </is>
      </c>
      <c r="G294" t="inlineStr">
        <is>
          <t>ÖSTRA GÖINGE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45727</v>
      </c>
      <c r="E295" s="1" t="n">
        <v>46304</v>
      </c>
      <c r="F295" t="inlineStr">
        <is>
          <t>SKÅNE LÄN</t>
        </is>
      </c>
      <c r="G295" t="inlineStr">
        <is>
          <t>ÖSTRA GÖINGE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29355-2024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45483</v>
      </c>
      <c r="E296" s="1" t="n">
        <v>46304</v>
      </c>
      <c r="F296" t="inlineStr">
        <is>
          <t>SKÅNE LÄN</t>
        </is>
      </c>
      <c r="G296" t="inlineStr">
        <is>
          <t>ÖSTRA GÖINGE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46304</v>
      </c>
      <c r="F297" t="inlineStr">
        <is>
          <t>SKÅNE LÄN</t>
        </is>
      </c>
      <c r="G297" t="inlineStr">
        <is>
          <t>ÖSTRA GÖINGE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45583</v>
      </c>
      <c r="E298" s="1" t="n">
        <v>46304</v>
      </c>
      <c r="F298" t="inlineStr">
        <is>
          <t>SKÅNE LÄN</t>
        </is>
      </c>
      <c r="G298" t="inlineStr">
        <is>
          <t>ÖSTRA GÖINGE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46304</v>
      </c>
      <c r="F299" t="inlineStr">
        <is>
          <t>SKÅNE LÄN</t>
        </is>
      </c>
      <c r="G299" t="inlineStr">
        <is>
          <t>ÖSTRA GÖINGE</t>
        </is>
      </c>
      <c r="I299" t="n">
        <v>12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11762-2026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46304</v>
      </c>
      <c r="F300" t="inlineStr">
        <is>
          <t>SKÅNE LÄN</t>
        </is>
      </c>
      <c r="G300" t="inlineStr">
        <is>
          <t>ÖSTRA GÖINGE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46304</v>
      </c>
      <c r="F301" t="inlineStr">
        <is>
          <t>SKÅNE LÄN</t>
        </is>
      </c>
      <c r="G301" t="inlineStr">
        <is>
          <t>ÖSTRA GÖINGE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45856</v>
      </c>
      <c r="E302" s="1" t="n">
        <v>46304</v>
      </c>
      <c r="F302" t="inlineStr">
        <is>
          <t>SKÅNE LÄN</t>
        </is>
      </c>
      <c r="G302" t="inlineStr">
        <is>
          <t>ÖSTRA GÖINGE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45856</v>
      </c>
      <c r="E303" s="1" t="n">
        <v>46304</v>
      </c>
      <c r="F303" t="inlineStr">
        <is>
          <t>SKÅNE LÄN</t>
        </is>
      </c>
      <c r="G303" t="inlineStr">
        <is>
          <t>ÖSTRA GÖINGE</t>
        </is>
      </c>
      <c r="I303" t="n">
        <v>11.9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20933-2026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46304</v>
      </c>
      <c r="F304" t="inlineStr">
        <is>
          <t>SKÅNE LÄN</t>
        </is>
      </c>
      <c r="G304" t="inlineStr">
        <is>
          <t>ÖSTRA GÖINGE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74142-2021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44557</v>
      </c>
      <c r="E305" s="1" t="n">
        <v>46304</v>
      </c>
      <c r="F305" t="inlineStr">
        <is>
          <t>SKÅNE LÄN</t>
        </is>
      </c>
      <c r="G305" t="inlineStr">
        <is>
          <t>ÖSTRA GÖINGE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55490-2022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44887</v>
      </c>
      <c r="E306" s="1" t="n">
        <v>46304</v>
      </c>
      <c r="F306" t="inlineStr">
        <is>
          <t>SKÅNE LÄN</t>
        </is>
      </c>
      <c r="G306" t="inlineStr">
        <is>
          <t>ÖSTRA GÖINGE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21260-2026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46147</v>
      </c>
      <c r="E307" s="1" t="n">
        <v>46304</v>
      </c>
      <c r="F307" t="inlineStr">
        <is>
          <t>SKÅNE LÄN</t>
        </is>
      </c>
      <c r="G307" t="inlineStr">
        <is>
          <t>ÖSTRA GÖINGE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45256</v>
      </c>
      <c r="E308" s="1" t="n">
        <v>46304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46304</v>
      </c>
      <c r="F309" t="inlineStr">
        <is>
          <t>SKÅNE LÄN</t>
        </is>
      </c>
      <c r="G309" t="inlineStr">
        <is>
          <t>ÖSTRA GÖINGE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46304</v>
      </c>
      <c r="F310" t="inlineStr">
        <is>
          <t>SKÅNE LÄN</t>
        </is>
      </c>
      <c r="G310" t="inlineStr">
        <is>
          <t>ÖSTRA GÖINGE</t>
        </is>
      </c>
      <c r="I310" t="n">
        <v>15.4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45807</v>
      </c>
      <c r="E311" s="1" t="n">
        <v>46304</v>
      </c>
      <c r="F311" t="inlineStr">
        <is>
          <t>SKÅNE LÄN</t>
        </is>
      </c>
      <c r="G311" t="inlineStr">
        <is>
          <t>ÖSTRA GÖINGE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22327-2026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46154</v>
      </c>
      <c r="E312" s="1" t="n">
        <v>46304</v>
      </c>
      <c r="F312" t="inlineStr">
        <is>
          <t>SKÅNE LÄN</t>
        </is>
      </c>
      <c r="G312" t="inlineStr">
        <is>
          <t>ÖSTRA GÖINGE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44853-2024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46304</v>
      </c>
      <c r="F313" t="inlineStr">
        <is>
          <t>SKÅNE LÄN</t>
        </is>
      </c>
      <c r="G313" t="inlineStr">
        <is>
          <t>ÖSTRA GÖINGE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43054-2025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45909</v>
      </c>
      <c r="E314" s="1" t="n">
        <v>46304</v>
      </c>
      <c r="F314" t="inlineStr">
        <is>
          <t>SKÅNE LÄN</t>
        </is>
      </c>
      <c r="G314" t="inlineStr">
        <is>
          <t>ÖSTRA GÖINGE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5177-2024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45330</v>
      </c>
      <c r="E315" s="1" t="n">
        <v>46304</v>
      </c>
      <c r="F315" t="inlineStr">
        <is>
          <t>SKÅNE LÄN</t>
        </is>
      </c>
      <c r="G315" t="inlineStr">
        <is>
          <t>ÖSTRA GÖINGE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71747-2021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44539</v>
      </c>
      <c r="E316" s="1" t="n">
        <v>46304</v>
      </c>
      <c r="F316" t="inlineStr">
        <is>
          <t>SKÅNE LÄN</t>
        </is>
      </c>
      <c r="G316" t="inlineStr">
        <is>
          <t>ÖSTRA GÖINGE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45733</v>
      </c>
      <c r="E317" s="1" t="n">
        <v>46304</v>
      </c>
      <c r="F317" t="inlineStr">
        <is>
          <t>SKÅNE LÄN</t>
        </is>
      </c>
      <c r="G317" t="inlineStr">
        <is>
          <t>ÖSTRA GÖINGE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46304</v>
      </c>
      <c r="F318" t="inlineStr">
        <is>
          <t>SKÅNE LÄN</t>
        </is>
      </c>
      <c r="G318" t="inlineStr">
        <is>
          <t>ÖSTRA GÖINGE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44977</v>
      </c>
      <c r="E319" s="1" t="n">
        <v>46304</v>
      </c>
      <c r="F319" t="inlineStr">
        <is>
          <t>SKÅNE LÄN</t>
        </is>
      </c>
      <c r="G319" t="inlineStr">
        <is>
          <t>ÖSTRA GÖINGE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46304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45686</v>
      </c>
      <c r="E321" s="1" t="n">
        <v>46304</v>
      </c>
      <c r="F321" t="inlineStr">
        <is>
          <t>SKÅNE LÄN</t>
        </is>
      </c>
      <c r="G321" t="inlineStr">
        <is>
          <t>ÖSTRA GÖINGE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45636</v>
      </c>
      <c r="E322" s="1" t="n">
        <v>46304</v>
      </c>
      <c r="F322" t="inlineStr">
        <is>
          <t>SKÅNE LÄN</t>
        </is>
      </c>
      <c r="G322" t="inlineStr">
        <is>
          <t>ÖSTRA GÖINGE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46304</v>
      </c>
      <c r="F323" t="inlineStr">
        <is>
          <t>SKÅNE LÄN</t>
        </is>
      </c>
      <c r="G323" t="inlineStr">
        <is>
          <t>ÖSTRA GÖINGE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46304</v>
      </c>
      <c r="F324" t="inlineStr">
        <is>
          <t>SKÅNE LÄN</t>
        </is>
      </c>
      <c r="G324" t="inlineStr">
        <is>
          <t>ÖSTRA GÖINGE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45273</v>
      </c>
      <c r="E325" s="1" t="n">
        <v>46304</v>
      </c>
      <c r="F325" t="inlineStr">
        <is>
          <t>SKÅNE LÄN</t>
        </is>
      </c>
      <c r="G325" t="inlineStr">
        <is>
          <t>ÖSTRA GÖINGE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45331</v>
      </c>
      <c r="E326" s="1" t="n">
        <v>46304</v>
      </c>
      <c r="F326" t="inlineStr">
        <is>
          <t>SKÅNE LÄN</t>
        </is>
      </c>
      <c r="G326" t="inlineStr">
        <is>
          <t>ÖSTRA GÖINGE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35171-2024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45530</v>
      </c>
      <c r="E327" s="1" t="n">
        <v>46304</v>
      </c>
      <c r="F327" t="inlineStr">
        <is>
          <t>SKÅNE LÄN</t>
        </is>
      </c>
      <c r="G327" t="inlineStr">
        <is>
          <t>ÖSTRA GÖINGE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45090</v>
      </c>
      <c r="E328" s="1" t="n">
        <v>46304</v>
      </c>
      <c r="F328" t="inlineStr">
        <is>
          <t>SKÅNE LÄN</t>
        </is>
      </c>
      <c r="G328" t="inlineStr">
        <is>
          <t>ÖSTRA GÖINGE</t>
        </is>
      </c>
      <c r="I328" t="n">
        <v>12.8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46304</v>
      </c>
      <c r="F329" t="inlineStr">
        <is>
          <t>SKÅNE LÄN</t>
        </is>
      </c>
      <c r="G329" t="inlineStr">
        <is>
          <t>ÖSTRA GÖINGE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44593</v>
      </c>
      <c r="E330" s="1" t="n">
        <v>46304</v>
      </c>
      <c r="F330" t="inlineStr">
        <is>
          <t>SKÅNE LÄN</t>
        </is>
      </c>
      <c r="G330" t="inlineStr">
        <is>
          <t>ÖSTRA GÖINGE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45266</v>
      </c>
      <c r="E331" s="1" t="n">
        <v>46304</v>
      </c>
      <c r="F331" t="inlineStr">
        <is>
          <t>SKÅNE LÄN</t>
        </is>
      </c>
      <c r="G331" t="inlineStr">
        <is>
          <t>ÖSTRA GÖINGE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45117</v>
      </c>
      <c r="E332" s="1" t="n">
        <v>46304</v>
      </c>
      <c r="F332" t="inlineStr">
        <is>
          <t>SKÅNE LÄN</t>
        </is>
      </c>
      <c r="G332" t="inlineStr">
        <is>
          <t>ÖSTRA GÖINGE</t>
        </is>
      </c>
      <c r="H332" t="inlineStr">
        <is>
          <t>Sveaskog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48952-2022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44859</v>
      </c>
      <c r="E333" s="1" t="n">
        <v>46304</v>
      </c>
      <c r="F333" t="inlineStr">
        <is>
          <t>SKÅNE LÄN</t>
        </is>
      </c>
      <c r="G333" t="inlineStr">
        <is>
          <t>ÖSTRA GÖINGE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46304</v>
      </c>
      <c r="F334" t="inlineStr">
        <is>
          <t>SKÅNE LÄN</t>
        </is>
      </c>
      <c r="G334" t="inlineStr">
        <is>
          <t>ÖSTRA GÖINGE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44725-2022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44840</v>
      </c>
      <c r="E335" s="1" t="n">
        <v>46304</v>
      </c>
      <c r="F335" t="inlineStr">
        <is>
          <t>SKÅNE LÄN</t>
        </is>
      </c>
      <c r="G335" t="inlineStr">
        <is>
          <t>ÖSTRA GÖINGE</t>
        </is>
      </c>
      <c r="I335" t="n">
        <v>8.300000000000001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44585</v>
      </c>
      <c r="E336" s="1" t="n">
        <v>46304</v>
      </c>
      <c r="F336" t="inlineStr">
        <is>
          <t>SKÅNE LÄN</t>
        </is>
      </c>
      <c r="G336" t="inlineStr">
        <is>
          <t>ÖSTRA GÖINGE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46304</v>
      </c>
      <c r="F337" t="inlineStr">
        <is>
          <t>SKÅNE LÄN</t>
        </is>
      </c>
      <c r="G337" t="inlineStr">
        <is>
          <t>ÖSTRA GÖINGE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25389-2026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46176</v>
      </c>
      <c r="E338" s="1" t="n">
        <v>46304</v>
      </c>
      <c r="F338" t="inlineStr">
        <is>
          <t>SKÅNE LÄN</t>
        </is>
      </c>
      <c r="G338" t="inlineStr">
        <is>
          <t>ÖSTRA GÖINGE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45198</v>
      </c>
      <c r="E339" s="1" t="n">
        <v>46304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46304</v>
      </c>
      <c r="F340" t="inlineStr">
        <is>
          <t>SKÅNE LÄN</t>
        </is>
      </c>
      <c r="G340" t="inlineStr">
        <is>
          <t>ÖSTRA GÖINGE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46304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46304</v>
      </c>
      <c r="F342" t="inlineStr">
        <is>
          <t>SKÅNE LÄN</t>
        </is>
      </c>
      <c r="G342" t="inlineStr">
        <is>
          <t>ÖSTRA GÖINGE</t>
        </is>
      </c>
      <c r="I342" t="n">
        <v>34.5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26465-2026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46304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46304</v>
      </c>
      <c r="F344" t="inlineStr">
        <is>
          <t>SKÅNE LÄN</t>
        </is>
      </c>
      <c r="G344" t="inlineStr">
        <is>
          <t>ÖSTRA GÖINGE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46304</v>
      </c>
      <c r="F345" t="inlineStr">
        <is>
          <t>SKÅNE LÄN</t>
        </is>
      </c>
      <c r="G345" t="inlineStr">
        <is>
          <t>ÖSTRA GÖINGE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45321</v>
      </c>
      <c r="E346" s="1" t="n">
        <v>46304</v>
      </c>
      <c r="F346" t="inlineStr">
        <is>
          <t>SKÅNE LÄN</t>
        </is>
      </c>
      <c r="G346" t="inlineStr">
        <is>
          <t>ÖSTRA GÖINGE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45735</v>
      </c>
      <c r="E347" s="1" t="n">
        <v>46304</v>
      </c>
      <c r="F347" t="inlineStr">
        <is>
          <t>SKÅNE LÄN</t>
        </is>
      </c>
      <c r="G347" t="inlineStr">
        <is>
          <t>ÖSTRA GÖINGE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69387-2021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44531</v>
      </c>
      <c r="E348" s="1" t="n">
        <v>46304</v>
      </c>
      <c r="F348" t="inlineStr">
        <is>
          <t>SKÅNE LÄN</t>
        </is>
      </c>
      <c r="G348" t="inlineStr">
        <is>
          <t>ÖSTRA GÖINGE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45362</v>
      </c>
      <c r="E349" s="1" t="n">
        <v>46304</v>
      </c>
      <c r="F349" t="inlineStr">
        <is>
          <t>SKÅNE LÄN</t>
        </is>
      </c>
      <c r="G349" t="inlineStr">
        <is>
          <t>ÖSTRA GÖINGE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44930</v>
      </c>
      <c r="E350" s="1" t="n">
        <v>46304</v>
      </c>
      <c r="F350" t="inlineStr">
        <is>
          <t>SKÅNE LÄN</t>
        </is>
      </c>
      <c r="G350" t="inlineStr">
        <is>
          <t>ÖSTRA GÖINGE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43447-2024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45568</v>
      </c>
      <c r="E351" s="1" t="n">
        <v>46304</v>
      </c>
      <c r="F351" t="inlineStr">
        <is>
          <t>SKÅNE LÄN</t>
        </is>
      </c>
      <c r="G351" t="inlineStr">
        <is>
          <t>ÖSTRA GÖINGE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44930</v>
      </c>
      <c r="E352" s="1" t="n">
        <v>46304</v>
      </c>
      <c r="F352" t="inlineStr">
        <is>
          <t>SKÅNE LÄN</t>
        </is>
      </c>
      <c r="G352" t="inlineStr">
        <is>
          <t>ÖSTRA GÖINGE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57521-2022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44896</v>
      </c>
      <c r="E353" s="1" t="n">
        <v>46304</v>
      </c>
      <c r="F353" t="inlineStr">
        <is>
          <t>SKÅNE LÄN</t>
        </is>
      </c>
      <c r="G353" t="inlineStr">
        <is>
          <t>ÖSTRA GÖINGE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10497-2022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44623</v>
      </c>
      <c r="E354" s="1" t="n">
        <v>46304</v>
      </c>
      <c r="F354" t="inlineStr">
        <is>
          <t>SKÅNE LÄN</t>
        </is>
      </c>
      <c r="G354" t="inlineStr">
        <is>
          <t>ÖSTRA GÖINGE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45727</v>
      </c>
      <c r="E355" s="1" t="n">
        <v>46304</v>
      </c>
      <c r="F355" t="inlineStr">
        <is>
          <t>SKÅNE LÄN</t>
        </is>
      </c>
      <c r="G355" t="inlineStr">
        <is>
          <t>ÖSTRA GÖINGE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48408-2023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45205</v>
      </c>
      <c r="E356" s="1" t="n">
        <v>46304</v>
      </c>
      <c r="F356" t="inlineStr">
        <is>
          <t>SKÅNE LÄN</t>
        </is>
      </c>
      <c r="G356" t="inlineStr">
        <is>
          <t>ÖSTRA GÖINGE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30140-2024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45489</v>
      </c>
      <c r="E357" s="1" t="n">
        <v>46304</v>
      </c>
      <c r="F357" t="inlineStr">
        <is>
          <t>SKÅNE LÄN</t>
        </is>
      </c>
      <c r="G357" t="inlineStr">
        <is>
          <t>ÖSTRA GÖINGE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46304</v>
      </c>
      <c r="F358" t="inlineStr">
        <is>
          <t>SKÅNE LÄN</t>
        </is>
      </c>
      <c r="G358" t="inlineStr">
        <is>
          <t>ÖSTRA GÖINGE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11631-2024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45373</v>
      </c>
      <c r="E359" s="1" t="n">
        <v>46304</v>
      </c>
      <c r="F359" t="inlineStr">
        <is>
          <t>SKÅNE LÄN</t>
        </is>
      </c>
      <c r="G359" t="inlineStr">
        <is>
          <t>ÖSTRA GÖINGE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27322-2022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44742</v>
      </c>
      <c r="E360" s="1" t="n">
        <v>46304</v>
      </c>
      <c r="F360" t="inlineStr">
        <is>
          <t>SKÅNE LÄN</t>
        </is>
      </c>
      <c r="G360" t="inlineStr">
        <is>
          <t>ÖSTRA GÖINGE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45203</v>
      </c>
      <c r="E361" s="1" t="n">
        <v>46304</v>
      </c>
      <c r="F361" t="inlineStr">
        <is>
          <t>SKÅNE LÄN</t>
        </is>
      </c>
      <c r="G361" t="inlineStr">
        <is>
          <t>ÖSTRA GÖINGE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55489-2022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44887</v>
      </c>
      <c r="E362" s="1" t="n">
        <v>46304</v>
      </c>
      <c r="F362" t="inlineStr">
        <is>
          <t>SKÅNE LÄN</t>
        </is>
      </c>
      <c r="G362" t="inlineStr">
        <is>
          <t>ÖSTRA GÖINGE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17856-2025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45758</v>
      </c>
      <c r="E363" s="1" t="n">
        <v>46304</v>
      </c>
      <c r="F363" t="inlineStr">
        <is>
          <t>SKÅNE LÄN</t>
        </is>
      </c>
      <c r="G363" t="inlineStr">
        <is>
          <t>ÖSTRA GÖINGE</t>
        </is>
      </c>
      <c r="H363" t="inlineStr">
        <is>
          <t>Sveaskog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46304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46304</v>
      </c>
      <c r="F365" t="inlineStr">
        <is>
          <t>SKÅNE LÄN</t>
        </is>
      </c>
      <c r="G365" t="inlineStr">
        <is>
          <t>ÖSTRA GÖINGE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45601</v>
      </c>
      <c r="E366" s="1" t="n">
        <v>46304</v>
      </c>
      <c r="F366" t="inlineStr">
        <is>
          <t>SKÅNE LÄN</t>
        </is>
      </c>
      <c r="G366" t="inlineStr">
        <is>
          <t>ÖSTRA GÖINGE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30111-2026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46206</v>
      </c>
      <c r="E367" s="1" t="n">
        <v>46304</v>
      </c>
      <c r="F367" t="inlineStr">
        <is>
          <t>SKÅNE LÄN</t>
        </is>
      </c>
      <c r="G367" t="inlineStr">
        <is>
          <t>ÖSTRA GÖINGE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46304</v>
      </c>
      <c r="F368" t="inlineStr">
        <is>
          <t>SKÅNE LÄN</t>
        </is>
      </c>
      <c r="G368" t="inlineStr">
        <is>
          <t>ÖSTRA GÖINGE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29859-2026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46205</v>
      </c>
      <c r="E369" s="1" t="n">
        <v>46304</v>
      </c>
      <c r="F369" t="inlineStr">
        <is>
          <t>SKÅNE LÄN</t>
        </is>
      </c>
      <c r="G369" t="inlineStr">
        <is>
          <t>ÖSTRA GÖINGE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29864-2026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46304</v>
      </c>
      <c r="F370" t="inlineStr">
        <is>
          <t>SKÅNE LÄN</t>
        </is>
      </c>
      <c r="G370" t="inlineStr">
        <is>
          <t>ÖSTRA GÖINGE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46304</v>
      </c>
      <c r="F371" t="inlineStr">
        <is>
          <t>SKÅNE LÄN</t>
        </is>
      </c>
      <c r="G371" t="inlineStr">
        <is>
          <t>ÖSTRA GÖINGE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46205</v>
      </c>
      <c r="E372" s="1" t="n">
        <v>46304</v>
      </c>
      <c r="F372" t="inlineStr">
        <is>
          <t>SKÅNE LÄN</t>
        </is>
      </c>
      <c r="G372" t="inlineStr">
        <is>
          <t>ÖSTRA GÖINGE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55716-2024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45622</v>
      </c>
      <c r="E373" s="1" t="n">
        <v>46304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46304</v>
      </c>
      <c r="F374" t="inlineStr">
        <is>
          <t>SKÅNE LÄN</t>
        </is>
      </c>
      <c r="G374" t="inlineStr">
        <is>
          <t>ÖSTRA GÖINGE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5134-2023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44958</v>
      </c>
      <c r="E375" s="1" t="n">
        <v>46304</v>
      </c>
      <c r="F375" t="inlineStr">
        <is>
          <t>SKÅNE LÄN</t>
        </is>
      </c>
      <c r="G375" t="inlineStr">
        <is>
          <t>ÖSTRA GÖINGE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44842-2024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45574</v>
      </c>
      <c r="E376" s="1" t="n">
        <v>46304</v>
      </c>
      <c r="F376" t="inlineStr">
        <is>
          <t>SKÅNE LÄN</t>
        </is>
      </c>
      <c r="G376" t="inlineStr">
        <is>
          <t>ÖSTRA GÖINGE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23402-2023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45076</v>
      </c>
      <c r="E377" s="1" t="n">
        <v>46304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46304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34924-2022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44796</v>
      </c>
      <c r="E379" s="1" t="n">
        <v>46304</v>
      </c>
      <c r="F379" t="inlineStr">
        <is>
          <t>SKÅNE LÄN</t>
        </is>
      </c>
      <c r="G379" t="inlineStr">
        <is>
          <t>ÖSTRA GÖINGE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31627-2023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45117</v>
      </c>
      <c r="E380" s="1" t="n">
        <v>46304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46265</v>
      </c>
      <c r="E381" s="1" t="n">
        <v>46304</v>
      </c>
      <c r="F381" t="inlineStr">
        <is>
          <t>SKÅNE LÄN</t>
        </is>
      </c>
      <c r="G381" t="inlineStr">
        <is>
          <t>ÖSTRA GÖINGE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24020-2023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45078</v>
      </c>
      <c r="E382" s="1" t="n">
        <v>46304</v>
      </c>
      <c r="F382" t="inlineStr">
        <is>
          <t>SKÅNE LÄN</t>
        </is>
      </c>
      <c r="G382" t="inlineStr">
        <is>
          <t>ÖSTRA GÖINGE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49228-2023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46304</v>
      </c>
      <c r="F383" t="inlineStr">
        <is>
          <t>SKÅNE LÄN</t>
        </is>
      </c>
      <c r="G383" t="inlineStr">
        <is>
          <t>ÖSTRA GÖINGE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20281-2025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45774</v>
      </c>
      <c r="E384" s="1" t="n">
        <v>46304</v>
      </c>
      <c r="F384" t="inlineStr">
        <is>
          <t>SKÅNE LÄN</t>
        </is>
      </c>
      <c r="G384" t="inlineStr">
        <is>
          <t>ÖSTRA GÖINGE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36557-2026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46304</v>
      </c>
      <c r="F385" t="inlineStr">
        <is>
          <t>SKÅNE LÄN</t>
        </is>
      </c>
      <c r="G385" t="inlineStr">
        <is>
          <t>ÖSTRA GÖINGE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45538</v>
      </c>
      <c r="E386" s="1" t="n">
        <v>46304</v>
      </c>
      <c r="F386" t="inlineStr">
        <is>
          <t>SKÅNE LÄN</t>
        </is>
      </c>
      <c r="G386" t="inlineStr">
        <is>
          <t>ÖSTRA GÖINGE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46304</v>
      </c>
      <c r="F387" t="inlineStr">
        <is>
          <t>SKÅNE LÄN</t>
        </is>
      </c>
      <c r="G387" t="inlineStr">
        <is>
          <t>ÖSTRA GÖINGE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46304</v>
      </c>
      <c r="F388" t="inlineStr">
        <is>
          <t>SKÅNE LÄN</t>
        </is>
      </c>
      <c r="G388" t="inlineStr">
        <is>
          <t>ÖSTRA GÖINGE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44953</v>
      </c>
      <c r="E389" s="1" t="n">
        <v>46304</v>
      </c>
      <c r="F389" t="inlineStr">
        <is>
          <t>SKÅNE LÄN</t>
        </is>
      </c>
      <c r="G389" t="inlineStr">
        <is>
          <t>ÖSTRA GÖINGE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45138</v>
      </c>
      <c r="E390" s="1" t="n">
        <v>46304</v>
      </c>
      <c r="F390" t="inlineStr">
        <is>
          <t>SKÅNE LÄN</t>
        </is>
      </c>
      <c r="G390" t="inlineStr">
        <is>
          <t>ÖSTRA GÖINGE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46304</v>
      </c>
      <c r="F391" t="inlineStr">
        <is>
          <t>SKÅNE LÄN</t>
        </is>
      </c>
      <c r="G391" t="inlineStr">
        <is>
          <t>ÖSTRA GÖINGE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45765</v>
      </c>
      <c r="E392" s="1" t="n">
        <v>46304</v>
      </c>
      <c r="F392" t="inlineStr">
        <is>
          <t>SKÅNE LÄN</t>
        </is>
      </c>
      <c r="G392" t="inlineStr">
        <is>
          <t>ÖSTRA GÖINGE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37588-2024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46304</v>
      </c>
      <c r="F393" t="inlineStr">
        <is>
          <t>SKÅNE LÄN</t>
        </is>
      </c>
      <c r="G393" t="inlineStr">
        <is>
          <t>ÖSTRA GÖINGE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37593-2024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46304</v>
      </c>
      <c r="F394" t="inlineStr">
        <is>
          <t>SKÅNE LÄN</t>
        </is>
      </c>
      <c r="G394" t="inlineStr">
        <is>
          <t>ÖSTRA GÖINGE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23454-2023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45076</v>
      </c>
      <c r="E395" s="1" t="n">
        <v>46304</v>
      </c>
      <c r="F395" t="inlineStr">
        <is>
          <t>SKÅNE LÄN</t>
        </is>
      </c>
      <c r="G395" t="inlineStr">
        <is>
          <t>ÖSTRA GÖINGE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45316</v>
      </c>
      <c r="E396" s="1" t="n">
        <v>46304</v>
      </c>
      <c r="F396" t="inlineStr">
        <is>
          <t>SKÅNE LÄN</t>
        </is>
      </c>
      <c r="G396" t="inlineStr">
        <is>
          <t>ÖSTRA GÖINGE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45321</v>
      </c>
      <c r="E397" s="1" t="n">
        <v>46304</v>
      </c>
      <c r="F397" t="inlineStr">
        <is>
          <t>SKÅNE LÄN</t>
        </is>
      </c>
      <c r="G397" t="inlineStr">
        <is>
          <t>ÖSTRA GÖINGE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45147</v>
      </c>
      <c r="E398" s="1" t="n">
        <v>46304</v>
      </c>
      <c r="F398" t="inlineStr">
        <is>
          <t>SKÅNE LÄN</t>
        </is>
      </c>
      <c r="G398" t="inlineStr">
        <is>
          <t>ÖSTRA GÖINGE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37784-2022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44810</v>
      </c>
      <c r="E399" s="1" t="n">
        <v>46304</v>
      </c>
      <c r="F399" t="inlineStr">
        <is>
          <t>SKÅNE LÄN</t>
        </is>
      </c>
      <c r="G399" t="inlineStr">
        <is>
          <t>ÖSTRA GÖINGE</t>
        </is>
      </c>
      <c r="H399" t="inlineStr">
        <is>
          <t>Kyrkan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46275</v>
      </c>
      <c r="E400" s="1" t="n">
        <v>46304</v>
      </c>
      <c r="F400" t="inlineStr">
        <is>
          <t>SKÅNE LÄN</t>
        </is>
      </c>
      <c r="G400" t="inlineStr">
        <is>
          <t>ÖSTRA GÖINGE</t>
        </is>
      </c>
      <c r="I400" t="n">
        <v>8.9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44946</v>
      </c>
      <c r="E401" s="1" t="n">
        <v>46304</v>
      </c>
      <c r="F401" t="inlineStr">
        <is>
          <t>SKÅNE LÄN</t>
        </is>
      </c>
      <c r="G401" t="inlineStr">
        <is>
          <t>ÖSTRA GÖINGE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37471-2026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46275</v>
      </c>
      <c r="E402" s="1" t="n">
        <v>46304</v>
      </c>
      <c r="F402" t="inlineStr">
        <is>
          <t>SKÅNE LÄN</t>
        </is>
      </c>
      <c r="G402" t="inlineStr">
        <is>
          <t>ÖSTRA GÖINGE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5096-2022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44593</v>
      </c>
      <c r="E403" s="1" t="n">
        <v>46304</v>
      </c>
      <c r="F403" t="inlineStr">
        <is>
          <t>SKÅNE LÄN</t>
        </is>
      </c>
      <c r="G403" t="inlineStr">
        <is>
          <t>ÖSTRA GÖINGE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46274</v>
      </c>
      <c r="E404" s="1" t="n">
        <v>46304</v>
      </c>
      <c r="F404" t="inlineStr">
        <is>
          <t>SKÅNE LÄN</t>
        </is>
      </c>
      <c r="G404" t="inlineStr">
        <is>
          <t>ÖSTRA GÖINGE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45267</v>
      </c>
      <c r="E405" s="1" t="n">
        <v>46304</v>
      </c>
      <c r="F405" t="inlineStr">
        <is>
          <t>SKÅNE LÄN</t>
        </is>
      </c>
      <c r="G405" t="inlineStr">
        <is>
          <t>ÖSTRA GÖINGE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44992</v>
      </c>
      <c r="E406" s="1" t="n">
        <v>46304</v>
      </c>
      <c r="F406" t="inlineStr">
        <is>
          <t>SKÅNE LÄN</t>
        </is>
      </c>
      <c r="G406" t="inlineStr">
        <is>
          <t>ÖSTRA GÖINGE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47591-2023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45203</v>
      </c>
      <c r="E407" s="1" t="n">
        <v>46304</v>
      </c>
      <c r="F407" t="inlineStr">
        <is>
          <t>SKÅNE LÄN</t>
        </is>
      </c>
      <c r="G407" t="inlineStr">
        <is>
          <t>ÖSTRA GÖINGE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46304</v>
      </c>
      <c r="F408" t="inlineStr">
        <is>
          <t>SKÅNE LÄN</t>
        </is>
      </c>
      <c r="G408" t="inlineStr">
        <is>
          <t>ÖSTRA GÖINGE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45121</v>
      </c>
      <c r="E409" s="1" t="n">
        <v>46304</v>
      </c>
      <c r="F409" t="inlineStr">
        <is>
          <t>SKÅNE LÄN</t>
        </is>
      </c>
      <c r="G409" t="inlineStr">
        <is>
          <t>ÖSTRA GÖINGE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58868-2021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44489</v>
      </c>
      <c r="E410" s="1" t="n">
        <v>46304</v>
      </c>
      <c r="F410" t="inlineStr">
        <is>
          <t>SKÅNE LÄN</t>
        </is>
      </c>
      <c r="G410" t="inlineStr">
        <is>
          <t>ÖSTRA GÖINGE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45706</v>
      </c>
      <c r="E411" s="1" t="n">
        <v>46304</v>
      </c>
      <c r="F411" t="inlineStr">
        <is>
          <t>SKÅNE LÄN</t>
        </is>
      </c>
      <c r="G411" t="inlineStr">
        <is>
          <t>ÖSTRA GÖINGE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46304</v>
      </c>
      <c r="F412" t="inlineStr">
        <is>
          <t>SKÅNE LÄN</t>
        </is>
      </c>
      <c r="G412" t="inlineStr">
        <is>
          <t>ÖSTRA GÖINGE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42373-2024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45564</v>
      </c>
      <c r="E413" s="1" t="n">
        <v>46304</v>
      </c>
      <c r="F413" t="inlineStr">
        <is>
          <t>SKÅNE LÄN</t>
        </is>
      </c>
      <c r="G413" t="inlineStr">
        <is>
          <t>ÖSTRA GÖINGE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45022</v>
      </c>
      <c r="E414" s="1" t="n">
        <v>46304</v>
      </c>
      <c r="F414" t="inlineStr">
        <is>
          <t>SKÅNE LÄN</t>
        </is>
      </c>
      <c r="G414" t="inlineStr">
        <is>
          <t>ÖSTRA GÖINGE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45699</v>
      </c>
      <c r="E415" s="1" t="n">
        <v>46304</v>
      </c>
      <c r="F415" t="inlineStr">
        <is>
          <t>SKÅNE LÄN</t>
        </is>
      </c>
      <c r="G415" t="inlineStr">
        <is>
          <t>ÖSTRA GÖINGE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4425-2025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45686</v>
      </c>
      <c r="E416" s="1" t="n">
        <v>46304</v>
      </c>
      <c r="F416" t="inlineStr">
        <is>
          <t>SKÅNE LÄN</t>
        </is>
      </c>
      <c r="G416" t="inlineStr">
        <is>
          <t>ÖSTRA GÖINGE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60504-2024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45643</v>
      </c>
      <c r="E417" s="1" t="n">
        <v>46304</v>
      </c>
      <c r="F417" t="inlineStr">
        <is>
          <t>SKÅNE LÄN</t>
        </is>
      </c>
      <c r="G417" t="inlineStr">
        <is>
          <t>ÖSTRA GÖINGE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45797</v>
      </c>
      <c r="E418" s="1" t="n">
        <v>46304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46287</v>
      </c>
      <c r="E419" s="1" t="n">
        <v>46304</v>
      </c>
      <c r="F419" t="inlineStr">
        <is>
          <t>SKÅNE LÄN</t>
        </is>
      </c>
      <c r="G419" t="inlineStr">
        <is>
          <t>ÖSTRA GÖINGE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45700</v>
      </c>
      <c r="E420" s="1" t="n">
        <v>46304</v>
      </c>
      <c r="F420" t="inlineStr">
        <is>
          <t>SKÅNE LÄN</t>
        </is>
      </c>
      <c r="G420" t="inlineStr">
        <is>
          <t>ÖSTRA GÖINGE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46289</v>
      </c>
      <c r="E421" s="1" t="n">
        <v>46304</v>
      </c>
      <c r="F421" t="inlineStr">
        <is>
          <t>SKÅNE LÄN</t>
        </is>
      </c>
      <c r="G421" t="inlineStr">
        <is>
          <t>ÖSTRA GÖINGE</t>
        </is>
      </c>
      <c r="H421" t="inlineStr">
        <is>
          <t>Sveaskog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39730-2026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46290</v>
      </c>
      <c r="E422" s="1" t="n">
        <v>46304</v>
      </c>
      <c r="F422" t="inlineStr">
        <is>
          <t>SKÅNE LÄN</t>
        </is>
      </c>
      <c r="G422" t="inlineStr">
        <is>
          <t>ÖSTRA GÖINGE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46304</v>
      </c>
      <c r="F423" t="inlineStr">
        <is>
          <t>SKÅNE LÄN</t>
        </is>
      </c>
      <c r="G423" t="inlineStr">
        <is>
          <t>ÖSTRA GÖINGE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33552-2026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46248</v>
      </c>
      <c r="E424" s="1" t="n">
        <v>46304</v>
      </c>
      <c r="F424" t="inlineStr">
        <is>
          <t>SKÅNE LÄN</t>
        </is>
      </c>
      <c r="G424" t="inlineStr">
        <is>
          <t>ÖSTRA GÖINGE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39723-2026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46290</v>
      </c>
      <c r="E425" s="1" t="n">
        <v>46304</v>
      </c>
      <c r="F425" t="inlineStr">
        <is>
          <t>SKÅNE LÄN</t>
        </is>
      </c>
      <c r="G425" t="inlineStr">
        <is>
          <t>ÖSTRA GÖINGE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39934-2024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45553</v>
      </c>
      <c r="E426" s="1" t="n">
        <v>46304</v>
      </c>
      <c r="F426" t="inlineStr">
        <is>
          <t>SKÅNE LÄN</t>
        </is>
      </c>
      <c r="G426" t="inlineStr">
        <is>
          <t>ÖSTRA GÖINGE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46304</v>
      </c>
      <c r="F427" t="inlineStr">
        <is>
          <t>SKÅNE LÄN</t>
        </is>
      </c>
      <c r="G427" t="inlineStr">
        <is>
          <t>ÖSTRA GÖINGE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45820</v>
      </c>
      <c r="E428" s="1" t="n">
        <v>46304</v>
      </c>
      <c r="F428" t="inlineStr">
        <is>
          <t>SKÅNE LÄN</t>
        </is>
      </c>
      <c r="G428" t="inlineStr">
        <is>
          <t>ÖSTRA GÖINGE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30108-2025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45826</v>
      </c>
      <c r="E429" s="1" t="n">
        <v>46304</v>
      </c>
      <c r="F429" t="inlineStr">
        <is>
          <t>SKÅNE LÄN</t>
        </is>
      </c>
      <c r="G429" t="inlineStr">
        <is>
          <t>ÖSTRA GÖINGE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40288-2026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46294</v>
      </c>
      <c r="E430" s="1" t="n">
        <v>46304</v>
      </c>
      <c r="F430" t="inlineStr">
        <is>
          <t>SKÅNE LÄN</t>
        </is>
      </c>
      <c r="G430" t="inlineStr">
        <is>
          <t>ÖSTRA GÖINGE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46304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46304</v>
      </c>
      <c r="F432" t="inlineStr">
        <is>
          <t>SKÅNE LÄN</t>
        </is>
      </c>
      <c r="G432" t="inlineStr">
        <is>
          <t>ÖSTRA GÖINGE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41024-2026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46297</v>
      </c>
      <c r="E433" s="1" t="n">
        <v>46304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46304</v>
      </c>
      <c r="F434" t="inlineStr">
        <is>
          <t>SKÅNE LÄN</t>
        </is>
      </c>
      <c r="G434" t="inlineStr">
        <is>
          <t>ÖSTRA GÖINGE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45834</v>
      </c>
      <c r="E435" s="1" t="n">
        <v>46304</v>
      </c>
      <c r="F435" t="inlineStr">
        <is>
          <t>SKÅNE LÄN</t>
        </is>
      </c>
      <c r="G435" t="inlineStr">
        <is>
          <t>ÖSTRA GÖINGE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23596-2026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46304</v>
      </c>
      <c r="F436" t="inlineStr">
        <is>
          <t>SKÅNE LÄN</t>
        </is>
      </c>
      <c r="G436" t="inlineStr">
        <is>
          <t>ÖSTRA GÖINGE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46258</v>
      </c>
      <c r="E437" s="1" t="n">
        <v>46304</v>
      </c>
      <c r="F437" t="inlineStr">
        <is>
          <t>SKÅNE LÄN</t>
        </is>
      </c>
      <c r="G437" t="inlineStr">
        <is>
          <t>ÖSTRA GÖINGE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41040-2026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46299</v>
      </c>
      <c r="E438" s="1" t="n">
        <v>46304</v>
      </c>
      <c r="F438" t="inlineStr">
        <is>
          <t>SKÅNE LÄN</t>
        </is>
      </c>
      <c r="G438" t="inlineStr">
        <is>
          <t>ÖSTRA GÖINGE</t>
        </is>
      </c>
      <c r="I438" t="n">
        <v>4.6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46258</v>
      </c>
      <c r="E439" s="1" t="n">
        <v>46304</v>
      </c>
      <c r="F439" t="inlineStr">
        <is>
          <t>SKÅNE LÄN</t>
        </is>
      </c>
      <c r="G439" t="inlineStr">
        <is>
          <t>ÖSTRA GÖINGE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45821</v>
      </c>
      <c r="E440" s="1" t="n">
        <v>46304</v>
      </c>
      <c r="F440" t="inlineStr">
        <is>
          <t>SKÅNE LÄN</t>
        </is>
      </c>
      <c r="G440" t="inlineStr">
        <is>
          <t>ÖSTRA GÖINGE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46274</v>
      </c>
      <c r="E441" s="1" t="n">
        <v>46304</v>
      </c>
      <c r="F441" t="inlineStr">
        <is>
          <t>SKÅNE LÄN</t>
        </is>
      </c>
      <c r="G441" t="inlineStr">
        <is>
          <t>ÖSTRA GÖINGE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34840-2026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46258</v>
      </c>
      <c r="E442" s="1" t="n">
        <v>46304</v>
      </c>
      <c r="F442" t="inlineStr">
        <is>
          <t>SKÅNE LÄN</t>
        </is>
      </c>
      <c r="G442" t="inlineStr">
        <is>
          <t>ÖSTRA GÖINGE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90-2024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45301</v>
      </c>
      <c r="E443" s="1" t="n">
        <v>46304</v>
      </c>
      <c r="F443" t="inlineStr">
        <is>
          <t>SKÅNE LÄN</t>
        </is>
      </c>
      <c r="G443" t="inlineStr">
        <is>
          <t>ÖSTRA GÖINGE</t>
        </is>
      </c>
      <c r="I443" t="n">
        <v>53.6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2502-2023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45124</v>
      </c>
      <c r="E444" s="1" t="n">
        <v>46304</v>
      </c>
      <c r="F444" t="inlineStr">
        <is>
          <t>SKÅNE LÄN</t>
        </is>
      </c>
      <c r="G444" t="inlineStr">
        <is>
          <t>ÖSTRA GÖINGE</t>
        </is>
      </c>
      <c r="I444" t="n">
        <v>11.6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2639-2022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44700</v>
      </c>
      <c r="E445" s="1" t="n">
        <v>46304</v>
      </c>
      <c r="F445" t="inlineStr">
        <is>
          <t>SKÅNE LÄN</t>
        </is>
      </c>
      <c r="G445" t="inlineStr">
        <is>
          <t>ÖSTRA GÖINGE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376-2024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45330</v>
      </c>
      <c r="E446" s="1" t="n">
        <v>46304</v>
      </c>
      <c r="F446" t="inlineStr">
        <is>
          <t>SKÅNE LÄN</t>
        </is>
      </c>
      <c r="G446" t="inlineStr">
        <is>
          <t>ÖSTRA GÖINGE</t>
        </is>
      </c>
      <c r="I446" t="n">
        <v>43.3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1043-2022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44613</v>
      </c>
      <c r="E447" s="1" t="n">
        <v>46304</v>
      </c>
      <c r="F447" t="inlineStr">
        <is>
          <t>SKÅNE LÄN</t>
        </is>
      </c>
      <c r="G447" t="inlineStr">
        <is>
          <t>ÖSTRA GÖINGE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371-2024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45330</v>
      </c>
      <c r="E448" s="1" t="n">
        <v>46304</v>
      </c>
      <c r="F448" t="inlineStr">
        <is>
          <t>SKÅNE LÄN</t>
        </is>
      </c>
      <c r="G448" t="inlineStr">
        <is>
          <t>ÖSTRA GÖINGE</t>
        </is>
      </c>
      <c r="I448" t="n">
        <v>19.2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642-2023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44973</v>
      </c>
      <c r="E449" s="1" t="n">
        <v>46304</v>
      </c>
      <c r="F449" t="inlineStr">
        <is>
          <t>SKÅNE LÄN</t>
        </is>
      </c>
      <c r="G449" t="inlineStr">
        <is>
          <t>ÖSTRA GÖINGE</t>
        </is>
      </c>
      <c r="I449" t="n">
        <v>20.4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573-2024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45350</v>
      </c>
      <c r="E450" s="1" t="n">
        <v>46304</v>
      </c>
      <c r="F450" t="inlineStr">
        <is>
          <t>SKÅNE LÄN</t>
        </is>
      </c>
      <c r="G450" t="inlineStr">
        <is>
          <t>ÖSTRA GÖINGE</t>
        </is>
      </c>
      <c r="I450" t="n">
        <v>24.3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3997-2024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45569</v>
      </c>
      <c r="E451" s="1" t="n">
        <v>46304</v>
      </c>
      <c r="F451" t="inlineStr">
        <is>
          <t>SKÅNE LÄN</t>
        </is>
      </c>
      <c r="G451" t="inlineStr">
        <is>
          <t>ÖSTRA GÖINGE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568-2024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45350</v>
      </c>
      <c r="E452" s="1" t="n">
        <v>46304</v>
      </c>
      <c r="F452" t="inlineStr">
        <is>
          <t>SKÅNE LÄN</t>
        </is>
      </c>
      <c r="G452" t="inlineStr">
        <is>
          <t>ÖSTRA GÖINGE</t>
        </is>
      </c>
      <c r="I452" t="n">
        <v>21.2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2600-2022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44698</v>
      </c>
      <c r="E453" s="1" t="n">
        <v>46304</v>
      </c>
      <c r="F453" t="inlineStr">
        <is>
          <t>SKÅNE LÄN</t>
        </is>
      </c>
      <c r="G453" t="inlineStr">
        <is>
          <t>ÖSTRA GÖINGE</t>
        </is>
      </c>
      <c r="I453" t="n">
        <v>12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569-2024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46304</v>
      </c>
      <c r="F454" t="inlineStr">
        <is>
          <t>SKÅNE LÄN</t>
        </is>
      </c>
      <c r="G454" t="inlineStr">
        <is>
          <t>ÖSTRA GÖINGE</t>
        </is>
      </c>
      <c r="I454" t="n">
        <v>35.3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2465-2024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45470</v>
      </c>
      <c r="E455" s="1" t="n">
        <v>46304</v>
      </c>
      <c r="F455" t="inlineStr">
        <is>
          <t>SKÅNE LÄN</t>
        </is>
      </c>
      <c r="G455" t="inlineStr">
        <is>
          <t>ÖSTRA GÖINGE</t>
        </is>
      </c>
      <c r="I455" t="n">
        <v>36.3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3114-2023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45182</v>
      </c>
      <c r="E456" s="1" t="n">
        <v>46304</v>
      </c>
      <c r="F456" t="inlineStr">
        <is>
          <t>SKÅNE LÄN</t>
        </is>
      </c>
      <c r="G456" t="inlineStr">
        <is>
          <t>ÖSTRA GÖINGE</t>
        </is>
      </c>
      <c r="I456" t="n">
        <v>17.1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2602-2022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46304</v>
      </c>
      <c r="F457" t="inlineStr">
        <is>
          <t>SKÅNE LÄN</t>
        </is>
      </c>
      <c r="G457" t="inlineStr">
        <is>
          <t>ÖSTRA GÖINGE</t>
        </is>
      </c>
      <c r="I457" t="n">
        <v>18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5662-2022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44841</v>
      </c>
      <c r="E458" s="1" t="n">
        <v>46304</v>
      </c>
      <c r="F458" t="inlineStr">
        <is>
          <t>SKÅNE LÄN</t>
        </is>
      </c>
      <c r="G458" t="inlineStr">
        <is>
          <t>ÖSTRA GÖINGE</t>
        </is>
      </c>
      <c r="I458" t="n">
        <v>10.3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3566-2023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45202</v>
      </c>
      <c r="E459" s="1" t="n">
        <v>46304</v>
      </c>
      <c r="F459" t="inlineStr">
        <is>
          <t>SKÅNE LÄN</t>
        </is>
      </c>
      <c r="G459" t="inlineStr">
        <is>
          <t>ÖSTRA GÖINGE</t>
        </is>
      </c>
      <c r="I459" t="n">
        <v>24.5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5137-2024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45645</v>
      </c>
      <c r="E460" s="1" t="n">
        <v>46304</v>
      </c>
      <c r="F460" t="inlineStr">
        <is>
          <t>SKÅNE LÄN</t>
        </is>
      </c>
      <c r="G460" t="inlineStr">
        <is>
          <t>ÖSTRA GÖINGE</t>
        </is>
      </c>
      <c r="I460" t="n">
        <v>48.8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2143-2022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44676</v>
      </c>
      <c r="E461" s="1" t="n">
        <v>46304</v>
      </c>
      <c r="F461" t="inlineStr">
        <is>
          <t>SKÅNE LÄN</t>
        </is>
      </c>
      <c r="G461" t="inlineStr">
        <is>
          <t>ÖSTRA GÖINGE</t>
        </is>
      </c>
      <c r="I461" t="n">
        <v>9.699999999999999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444-2022</t>
        </is>
      </c>
      <c r="B462" t="inlineStr">
        <is>
          <t>samrådsanmälan</t>
        </is>
      </c>
      <c r="C462" t="inlineStr">
        <is>
          <t>Åtgärd i nyckelbiotop</t>
        </is>
      </c>
      <c r="D462" s="1" t="n">
        <v>44586</v>
      </c>
      <c r="E462" s="1" t="n">
        <v>46304</v>
      </c>
      <c r="F462" t="inlineStr">
        <is>
          <t>SKÅNE LÄN</t>
        </is>
      </c>
      <c r="G462" t="inlineStr">
        <is>
          <t>ÖSTRA GÖINGE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5026-2024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45635</v>
      </c>
      <c r="E463" s="1" t="n">
        <v>46304</v>
      </c>
      <c r="F463" t="inlineStr">
        <is>
          <t>SKÅNE LÄN</t>
        </is>
      </c>
      <c r="G463" t="inlineStr">
        <is>
          <t>ÖSTRA GÖINGE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3730-2022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44742</v>
      </c>
      <c r="E464" s="1" t="n">
        <v>46304</v>
      </c>
      <c r="F464" t="inlineStr">
        <is>
          <t>SKÅNE LÄN</t>
        </is>
      </c>
      <c r="G464" t="inlineStr">
        <is>
          <t>ÖSTRA GÖINGE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3484-2023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45205</v>
      </c>
      <c r="E465" s="1" t="n">
        <v>46304</v>
      </c>
      <c r="F465" t="inlineStr">
        <is>
          <t>SKÅNE LÄN</t>
        </is>
      </c>
      <c r="G465" t="inlineStr">
        <is>
          <t>ÖSTRA GÖINGE</t>
        </is>
      </c>
      <c r="I465" t="n">
        <v>15.7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450-2022</t>
        </is>
      </c>
      <c r="B466" t="inlineStr">
        <is>
          <t>samrådsanmälan</t>
        </is>
      </c>
      <c r="C466" t="inlineStr">
        <is>
          <t>Åtgärd i nyckelbiotop</t>
        </is>
      </c>
      <c r="D466" s="1" t="n">
        <v>44586</v>
      </c>
      <c r="E466" s="1" t="n">
        <v>46304</v>
      </c>
      <c r="F466" t="inlineStr">
        <is>
          <t>SKÅNE LÄN</t>
        </is>
      </c>
      <c r="G466" t="inlineStr">
        <is>
          <t>ÖSTRA GÖINGE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1223-2025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45761</v>
      </c>
      <c r="E467" s="1" t="n">
        <v>46304</v>
      </c>
      <c r="F467" t="inlineStr">
        <is>
          <t>SKÅNE LÄN</t>
        </is>
      </c>
      <c r="G467" t="inlineStr">
        <is>
          <t>ÖSTRA GÖINGE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1305-2025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45770</v>
      </c>
      <c r="E468" s="1" t="n">
        <v>46304</v>
      </c>
      <c r="F468" t="inlineStr">
        <is>
          <t>SKÅNE LÄN</t>
        </is>
      </c>
      <c r="G468" t="inlineStr">
        <is>
          <t>ÖSTRA GÖINGE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625-2025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45714</v>
      </c>
      <c r="E469" s="1" t="n">
        <v>46304</v>
      </c>
      <c r="F469" t="inlineStr">
        <is>
          <t>SKÅNE LÄN</t>
        </is>
      </c>
      <c r="G469" t="inlineStr">
        <is>
          <t>ÖSTRA GÖINGE</t>
        </is>
      </c>
      <c r="I469" t="n">
        <v>93.59999999999999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649-2025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45715</v>
      </c>
      <c r="E470" s="1" t="n">
        <v>46304</v>
      </c>
      <c r="F470" t="inlineStr">
        <is>
          <t>SKÅNE LÄN</t>
        </is>
      </c>
      <c r="G470" t="inlineStr">
        <is>
          <t>ÖSTRA GÖINGE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451-2025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45701</v>
      </c>
      <c r="E471" s="1" t="n">
        <v>46304</v>
      </c>
      <c r="F471" t="inlineStr">
        <is>
          <t>SKÅNE LÄN</t>
        </is>
      </c>
      <c r="G471" t="inlineStr">
        <is>
          <t>ÖSTRA GÖINGE</t>
        </is>
      </c>
      <c r="I471" t="n">
        <v>17.7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252-2025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45684</v>
      </c>
      <c r="E472" s="1" t="n">
        <v>46304</v>
      </c>
      <c r="F472" t="inlineStr">
        <is>
          <t>SKÅNE LÄN</t>
        </is>
      </c>
      <c r="G472" t="inlineStr">
        <is>
          <t>ÖSTRA GÖINGE</t>
        </is>
      </c>
      <c r="I472" t="n">
        <v>20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885-2025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45735</v>
      </c>
      <c r="E473" s="1" t="n">
        <v>46304</v>
      </c>
      <c r="F473" t="inlineStr">
        <is>
          <t>SKÅNE LÄN</t>
        </is>
      </c>
      <c r="G473" t="inlineStr">
        <is>
          <t>ÖSTRA GÖINGE</t>
        </is>
      </c>
      <c r="I473" t="n">
        <v>13.6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1703-2025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45805</v>
      </c>
      <c r="E474" s="1" t="n">
        <v>46304</v>
      </c>
      <c r="F474" t="inlineStr">
        <is>
          <t>SKÅNE LÄN</t>
        </is>
      </c>
      <c r="G474" t="inlineStr">
        <is>
          <t>ÖSTRA GÖINGE</t>
        </is>
      </c>
      <c r="I474" t="n">
        <v>21.2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2712-2025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45930</v>
      </c>
      <c r="E475" s="1" t="n">
        <v>46304</v>
      </c>
      <c r="F475" t="inlineStr">
        <is>
          <t>SKÅNE LÄN</t>
        </is>
      </c>
      <c r="G475" t="inlineStr">
        <is>
          <t>ÖSTRA GÖINGE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2711-2025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45930</v>
      </c>
      <c r="E476" s="1" t="n">
        <v>46304</v>
      </c>
      <c r="F476" t="inlineStr">
        <is>
          <t>SKÅNE LÄN</t>
        </is>
      </c>
      <c r="G476" t="inlineStr">
        <is>
          <t>ÖSTRA GÖINGE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3154-2025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45973</v>
      </c>
      <c r="E477" s="1" t="n">
        <v>46304</v>
      </c>
      <c r="F477" t="inlineStr">
        <is>
          <t>SKÅNE LÄN</t>
        </is>
      </c>
      <c r="G477" t="inlineStr">
        <is>
          <t>ÖSTRA GÖINGE</t>
        </is>
      </c>
      <c r="H477" t="inlineStr">
        <is>
          <t>Sveaskog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3153-2025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45973</v>
      </c>
      <c r="E478" s="1" t="n">
        <v>46304</v>
      </c>
      <c r="F478" t="inlineStr">
        <is>
          <t>SKÅNE LÄN</t>
        </is>
      </c>
      <c r="G478" t="inlineStr">
        <is>
          <t>ÖSTRA GÖINGE</t>
        </is>
      </c>
      <c r="H478" t="inlineStr">
        <is>
          <t>Sveaskog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46030</v>
      </c>
      <c r="E479" s="1" t="n">
        <v>46304</v>
      </c>
      <c r="F479" t="inlineStr">
        <is>
          <t>SKÅNE LÄN</t>
        </is>
      </c>
      <c r="G479" t="inlineStr">
        <is>
          <t>ÖSTRA GÖINGE</t>
        </is>
      </c>
      <c r="I479" t="n">
        <v>14.3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30-2026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46030</v>
      </c>
      <c r="E480" s="1" t="n">
        <v>46304</v>
      </c>
      <c r="F480" t="inlineStr">
        <is>
          <t>SKÅNE LÄN</t>
        </is>
      </c>
      <c r="G480" t="inlineStr">
        <is>
          <t>ÖSTRA GÖINGE</t>
        </is>
      </c>
      <c r="I480" t="n">
        <v>16.4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509-2026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46077</v>
      </c>
      <c r="E481" s="1" t="n">
        <v>46304</v>
      </c>
      <c r="F481" t="inlineStr">
        <is>
          <t>SKÅNE LÄN</t>
        </is>
      </c>
      <c r="G481" t="inlineStr">
        <is>
          <t>ÖSTRA GÖINGE</t>
        </is>
      </c>
      <c r="I481" t="n">
        <v>10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816-2026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46104</v>
      </c>
      <c r="E482" s="1" t="n">
        <v>46304</v>
      </c>
      <c r="F482" t="inlineStr">
        <is>
          <t>SKÅNE LÄN</t>
        </is>
      </c>
      <c r="G482" t="inlineStr">
        <is>
          <t>ÖSTRA GÖINGE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1410-2026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46155</v>
      </c>
      <c r="E483" s="1" t="n">
        <v>46304</v>
      </c>
      <c r="F483" t="inlineStr">
        <is>
          <t>SKÅNE LÄN</t>
        </is>
      </c>
      <c r="G483" t="inlineStr">
        <is>
          <t>ÖSTRA GÖINGE</t>
        </is>
      </c>
      <c r="I483" t="n">
        <v>18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2026-10-09T02:04:13Z</dcterms:created>
  <dcterms:modified xmlns:dcterms="http://purl.org/dc/terms/" xmlns:xsi="http://www.w3.org/2001/XMLSchema-instance" xsi:type="dcterms:W3CDTF">2026-10-09T02:04:13Z</dcterms:modified>
</cp:coreProperties>
</file>