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46234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46234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46234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46234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46234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46234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46234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46234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46234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46234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46234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46234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46234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46234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46234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46234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46234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46234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46234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46234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46234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46234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46234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46234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46234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35526-2025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45856</v>
      </c>
      <c r="E40" s="1" t="n">
        <v>46234</v>
      </c>
      <c r="F40" t="inlineStr">
        <is>
          <t>SKÅNE LÄN</t>
        </is>
      </c>
      <c r="G40" t="inlineStr">
        <is>
          <t>ÖSTRA GÖINGE</t>
        </is>
      </c>
      <c r="I40" t="n">
        <v>4.2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HYPERLINK("https://klasma.github.io/Logging_1256/artfynd/A 35526-2025 artfynd.xlsx", "A 35526-2025")</f>
        <v/>
      </c>
      <c r="X40">
        <f>HYPERLINK("https://klasma.github.io/Logging_1256/kartor/A 35526-2025 karta.png", "A 35526-2025")</f>
        <v/>
      </c>
      <c r="Y40">
        <f>HYPERLINK("https://klasma.github.io/Logging_1256/kartor_geotiff/A 35526-2025 georefererad karta.tif", "A 35526-2025")</f>
        <v/>
      </c>
      <c r="AA40">
        <f>HYPERLINK("https://klasma.github.io/Logging_1256/klagomål/A 35526-2025 FSC-klagomål.docx", "A 35526-2025")</f>
        <v/>
      </c>
      <c r="AB40">
        <f>HYPERLINK("https://klasma.github.io/Logging_1256/klagomålsmail/A 35526-2025 FSC-klagomål mail.docx", "A 35526-2025")</f>
        <v/>
      </c>
      <c r="AC40">
        <f>HYPERLINK("https://klasma.github.io/Logging_1256/tillsyn/A 35526-2025 tillsynsbegäran.docx", "A 35526-2025")</f>
        <v/>
      </c>
      <c r="AD40">
        <f>HYPERLINK("https://klasma.github.io/Logging_1256/tillsynsmail/A 35526-2025 tillsynsbegäran mail.docx", "A 35526-2025")</f>
        <v/>
      </c>
    </row>
    <row r="41" ht="15" customHeight="1">
      <c r="A41" t="inlineStr">
        <is>
          <t>A 4386-2024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45327</v>
      </c>
      <c r="E41" s="1" t="n">
        <v>46234</v>
      </c>
      <c r="F41" t="inlineStr">
        <is>
          <t>SKÅNE LÄN</t>
        </is>
      </c>
      <c r="G41" t="inlineStr">
        <is>
          <t>ÖSTRA GÖINGE</t>
        </is>
      </c>
      <c r="I41" t="n">
        <v>1.8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HYPERLINK("https://klasma.github.io/Logging_1256/artfynd/A 4386-2024 artfynd.xlsx", "A 4386-2024")</f>
        <v/>
      </c>
      <c r="X41">
        <f>HYPERLINK("https://klasma.github.io/Logging_1256/kartor/A 4386-2024 karta.png", "A 4386-2024")</f>
        <v/>
      </c>
      <c r="Y41">
        <f>HYPERLINK("https://klasma.github.io/Logging_1256/kartor_geotiff/A 4386-2024 georefererad karta.tif", "A 4386-2024")</f>
        <v/>
      </c>
      <c r="AA41">
        <f>HYPERLINK("https://klasma.github.io/Logging_1256/klagomål/A 4386-2024 FSC-klagomål.docx", "A 4386-2024")</f>
        <v/>
      </c>
      <c r="AB41">
        <f>HYPERLINK("https://klasma.github.io/Logging_1256/klagomålsmail/A 4386-2024 FSC-klagomål mail.docx", "A 4386-2024")</f>
        <v/>
      </c>
      <c r="AC41">
        <f>HYPERLINK("https://klasma.github.io/Logging_1256/tillsyn/A 4386-2024 tillsynsbegäran.docx", "A 4386-2024")</f>
        <v/>
      </c>
      <c r="AD41">
        <f>HYPERLINK("https://klasma.github.io/Logging_1256/tillsynsmail/A 4386-2024 tillsynsbegäran mail.docx", "A 4386-2024")</f>
        <v/>
      </c>
    </row>
    <row r="42" ht="15" customHeight="1">
      <c r="A42" t="inlineStr">
        <is>
          <t>A 26509-2025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46234</v>
      </c>
      <c r="F42" t="inlineStr">
        <is>
          <t>SKÅNE LÄN</t>
        </is>
      </c>
      <c r="G42" t="inlineStr">
        <is>
          <t>ÖSTRA GÖINGE</t>
        </is>
      </c>
      <c r="I42" t="n">
        <v>0.4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HYPERLINK("https://klasma.github.io/Logging_1256/artfynd/A 26509-2025 artfynd.xlsx", "A 26509-2025")</f>
        <v/>
      </c>
      <c r="X42">
        <f>HYPERLINK("https://klasma.github.io/Logging_1256/kartor/A 26509-2025 karta.png", "A 26509-2025")</f>
        <v/>
      </c>
      <c r="Y42">
        <f>HYPERLINK("https://klasma.github.io/Logging_1256/kartor_geotiff/A 26509-2025 georefererad karta.tif", "A 26509-2025")</f>
        <v/>
      </c>
      <c r="AA42">
        <f>HYPERLINK("https://klasma.github.io/Logging_1256/klagomål/A 26509-2025 FSC-klagomål.docx", "A 26509-2025")</f>
        <v/>
      </c>
      <c r="AB42">
        <f>HYPERLINK("https://klasma.github.io/Logging_1256/klagomålsmail/A 26509-2025 FSC-klagomål mail.docx", "A 26509-2025")</f>
        <v/>
      </c>
      <c r="AC42">
        <f>HYPERLINK("https://klasma.github.io/Logging_1256/tillsyn/A 26509-2025 tillsynsbegäran.docx", "A 26509-2025")</f>
        <v/>
      </c>
      <c r="AD42">
        <f>HYPERLINK("https://klasma.github.io/Logging_1256/tillsynsmail/A 26509-2025 tillsynsbegäran mail.docx", "A 26509-2025")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46234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46234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hackspett</t>
        </is>
      </c>
      <c r="W44">
        <f>HYPERLINK("https://klasma.github.io/Logging_1256/artfynd/A 16668-2023 artfynd.xlsx", "A 16668-2023")</f>
        <v/>
      </c>
      <c r="X44">
        <f>HYPERLINK("https://klasma.github.io/Logging_1256/kartor/A 16668-2023 karta.png", "A 16668-2023")</f>
        <v/>
      </c>
      <c r="Y44">
        <f>HYPERLINK("https://klasma.github.io/Logging_1256/kartor_geotiff/A 16668-2023 georefererad karta.tif", "A 16668-2023")</f>
        <v/>
      </c>
      <c r="AA44">
        <f>HYPERLINK("https://klasma.github.io/Logging_1256/klagomål/A 16668-2023 FSC-klagomål.docx", "A 16668-2023")</f>
        <v/>
      </c>
      <c r="AB44">
        <f>HYPERLINK("https://klasma.github.io/Logging_1256/klagomålsmail/A 16668-2023 FSC-klagomål mail.docx", "A 16668-2023")</f>
        <v/>
      </c>
      <c r="AC44">
        <f>HYPERLINK("https://klasma.github.io/Logging_1256/tillsyn/A 16668-2023 tillsynsbegäran.docx", "A 16668-2023")</f>
        <v/>
      </c>
      <c r="AD44">
        <f>HYPERLINK("https://klasma.github.io/Logging_1256/tillsynsmail/A 16668-2023 tillsynsbegäran mail.docx", "A 16668-2023")</f>
        <v/>
      </c>
      <c r="AE44">
        <f>HYPERLINK("https://klasma.github.io/Logging_1256/fåglar/A 16668-2023 prioriterade fågelarter.docx", "A 16668-2023")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46234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46234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46234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46234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46234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46234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46234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6152-2024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46234</v>
      </c>
      <c r="F52" t="inlineStr">
        <is>
          <t>SKÅNE LÄN</t>
        </is>
      </c>
      <c r="G52" t="inlineStr">
        <is>
          <t>ÖSTRA GÖINGE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HYPERLINK("https://klasma.github.io/Logging_1256/artfynd/A 6152-2024 artfynd.xlsx", "A 6152-2024")</f>
        <v/>
      </c>
      <c r="X52">
        <f>HYPERLINK("https://klasma.github.io/Logging_1256/kartor/A 6152-2024 karta.png", "A 6152-2024")</f>
        <v/>
      </c>
      <c r="Y52">
        <f>HYPERLINK("https://klasma.github.io/Logging_1256/kartor_geotiff/A 6152-2024 georefererad karta.tif", "A 6152-2024")</f>
        <v/>
      </c>
      <c r="AA52">
        <f>HYPERLINK("https://klasma.github.io/Logging_1256/klagomål/A 6152-2024 FSC-klagomål.docx", "A 6152-2024")</f>
        <v/>
      </c>
      <c r="AB52">
        <f>HYPERLINK("https://klasma.github.io/Logging_1256/klagomålsmail/A 6152-2024 FSC-klagomål mail.docx", "A 6152-2024")</f>
        <v/>
      </c>
      <c r="AC52">
        <f>HYPERLINK("https://klasma.github.io/Logging_1256/tillsyn/A 6152-2024 tillsynsbegäran.docx", "A 6152-2024")</f>
        <v/>
      </c>
      <c r="AD52">
        <f>HYPERLINK("https://klasma.github.io/Logging_1256/tillsynsmail/A 6152-2024 tillsynsbegäran mail.docx", "A 6152-2024")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46234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46234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46234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46234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46234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46234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46234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46234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46234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46234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46234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46234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46234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46234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46234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46234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46234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46234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46234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46234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46234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46234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46234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46234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46234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46234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46234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46234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46234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46234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46234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46234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46234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46234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46234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46234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46234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46234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46234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46234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46234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46234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46234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46234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46234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46234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46234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46234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46234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46234</v>
      </c>
      <c r="F105" t="inlineStr">
        <is>
          <t>SKÅNE LÄN</t>
        </is>
      </c>
      <c r="G105" t="inlineStr">
        <is>
          <t>ÖSTRA GÖINGE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46234</v>
      </c>
      <c r="F106" t="inlineStr">
        <is>
          <t>SKÅNE LÄN</t>
        </is>
      </c>
      <c r="G106" t="inlineStr">
        <is>
          <t>ÖSTRA GÖINGE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46234</v>
      </c>
      <c r="F107" t="inlineStr">
        <is>
          <t>SKÅNE LÄN</t>
        </is>
      </c>
      <c r="G107" t="inlineStr">
        <is>
          <t>ÖSTRA GÖINGE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46234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46234</v>
      </c>
      <c r="F109" t="inlineStr">
        <is>
          <t>SKÅNE LÄN</t>
        </is>
      </c>
      <c r="G109" t="inlineStr">
        <is>
          <t>ÖSTRA GÖINGE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46234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46234</v>
      </c>
      <c r="F111" t="inlineStr">
        <is>
          <t>SKÅNE LÄN</t>
        </is>
      </c>
      <c r="G111" t="inlineStr">
        <is>
          <t>ÖSTRA GÖINGE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46234</v>
      </c>
      <c r="F112" t="inlineStr">
        <is>
          <t>SKÅNE LÄN</t>
        </is>
      </c>
      <c r="G112" t="inlineStr">
        <is>
          <t>ÖSTRA GÖINGE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46234</v>
      </c>
      <c r="F113" t="inlineStr">
        <is>
          <t>SKÅNE LÄN</t>
        </is>
      </c>
      <c r="G113" t="inlineStr">
        <is>
          <t>ÖSTRA GÖINGE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45121</v>
      </c>
      <c r="E114" s="1" t="n">
        <v>46234</v>
      </c>
      <c r="F114" t="inlineStr">
        <is>
          <t>SKÅNE LÄN</t>
        </is>
      </c>
      <c r="G114" t="inlineStr">
        <is>
          <t>ÖSTRA GÖINGE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58868-2021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46234</v>
      </c>
      <c r="F115" t="inlineStr">
        <is>
          <t>SKÅNE LÄN</t>
        </is>
      </c>
      <c r="G115" t="inlineStr">
        <is>
          <t>ÖSTRA GÖINGE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46234</v>
      </c>
      <c r="F116" t="inlineStr">
        <is>
          <t>SKÅNE LÄN</t>
        </is>
      </c>
      <c r="G116" t="inlineStr">
        <is>
          <t>ÖSTRA GÖINGE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46234</v>
      </c>
      <c r="F117" t="inlineStr">
        <is>
          <t>SKÅNE LÄN</t>
        </is>
      </c>
      <c r="G117" t="inlineStr">
        <is>
          <t>ÖSTRA GÖINGE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46234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45082</v>
      </c>
      <c r="E119" s="1" t="n">
        <v>46234</v>
      </c>
      <c r="F119" t="inlineStr">
        <is>
          <t>SKÅNE LÄN</t>
        </is>
      </c>
      <c r="G119" t="inlineStr">
        <is>
          <t>ÖSTRA GÖINGE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46234</v>
      </c>
      <c r="F120" t="inlineStr">
        <is>
          <t>SKÅNE LÄN</t>
        </is>
      </c>
      <c r="G120" t="inlineStr">
        <is>
          <t>ÖSTRA GÖINGE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45935</v>
      </c>
      <c r="E121" s="1" t="n">
        <v>46234</v>
      </c>
      <c r="F121" t="inlineStr">
        <is>
          <t>SKÅNE LÄN</t>
        </is>
      </c>
      <c r="G121" t="inlineStr">
        <is>
          <t>ÖSTRA GÖINGE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46234</v>
      </c>
      <c r="F122" t="inlineStr">
        <is>
          <t>SKÅNE LÄN</t>
        </is>
      </c>
      <c r="G122" t="inlineStr">
        <is>
          <t>ÖSTRA GÖINGE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45564</v>
      </c>
      <c r="E123" s="1" t="n">
        <v>46234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45307</v>
      </c>
      <c r="E124" s="1" t="n">
        <v>46234</v>
      </c>
      <c r="F124" t="inlineStr">
        <is>
          <t>SKÅNE LÄN</t>
        </is>
      </c>
      <c r="G124" t="inlineStr">
        <is>
          <t>ÖSTRA GÖINGE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34931-2023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45142</v>
      </c>
      <c r="E125" s="1" t="n">
        <v>46234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24028-2022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44723</v>
      </c>
      <c r="E126" s="1" t="n">
        <v>46234</v>
      </c>
      <c r="F126" t="inlineStr">
        <is>
          <t>SKÅNE LÄN</t>
        </is>
      </c>
      <c r="G126" t="inlineStr">
        <is>
          <t>ÖSTRA GÖINGE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46234</v>
      </c>
      <c r="F127" t="inlineStr">
        <is>
          <t>SKÅNE LÄN</t>
        </is>
      </c>
      <c r="G127" t="inlineStr">
        <is>
          <t>ÖSTRA GÖINGE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45022</v>
      </c>
      <c r="E128" s="1" t="n">
        <v>46234</v>
      </c>
      <c r="F128" t="inlineStr">
        <is>
          <t>SKÅNE LÄN</t>
        </is>
      </c>
      <c r="G128" t="inlineStr">
        <is>
          <t>ÖSTRA GÖINGE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46234</v>
      </c>
      <c r="F129" t="inlineStr">
        <is>
          <t>SKÅNE LÄN</t>
        </is>
      </c>
      <c r="G129" t="inlineStr">
        <is>
          <t>ÖSTRA GÖINGE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46234</v>
      </c>
      <c r="F130" t="inlineStr">
        <is>
          <t>SKÅNE LÄN</t>
        </is>
      </c>
      <c r="G130" t="inlineStr">
        <is>
          <t>ÖSTRA GÖINGE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46234</v>
      </c>
      <c r="F131" t="inlineStr">
        <is>
          <t>SKÅNE LÄN</t>
        </is>
      </c>
      <c r="G131" t="inlineStr">
        <is>
          <t>ÖSTRA GÖINGE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46234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46234</v>
      </c>
      <c r="F133" t="inlineStr">
        <is>
          <t>SKÅNE LÄN</t>
        </is>
      </c>
      <c r="G133" t="inlineStr">
        <is>
          <t>ÖSTRA GÖINGE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46234</v>
      </c>
      <c r="F134" t="inlineStr">
        <is>
          <t>SKÅNE LÄN</t>
        </is>
      </c>
      <c r="G134" t="inlineStr">
        <is>
          <t>ÖSTRA GÖINGE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46234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46234</v>
      </c>
      <c r="F136" t="inlineStr">
        <is>
          <t>SKÅNE LÄN</t>
        </is>
      </c>
      <c r="G136" t="inlineStr">
        <is>
          <t>ÖSTRA GÖINGE</t>
        </is>
      </c>
      <c r="H136" t="inlineStr">
        <is>
          <t>Kyrkan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46234</v>
      </c>
      <c r="F137" t="inlineStr">
        <is>
          <t>SKÅNE LÄN</t>
        </is>
      </c>
      <c r="G137" t="inlineStr">
        <is>
          <t>ÖSTRA GÖINGE</t>
        </is>
      </c>
      <c r="H137" t="inlineStr">
        <is>
          <t>Kyrkan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46234</v>
      </c>
      <c r="F138" t="inlineStr">
        <is>
          <t>SKÅNE LÄN</t>
        </is>
      </c>
      <c r="G138" t="inlineStr">
        <is>
          <t>ÖSTRA GÖINGE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46234</v>
      </c>
      <c r="F139" t="inlineStr">
        <is>
          <t>SKÅNE LÄN</t>
        </is>
      </c>
      <c r="G139" t="inlineStr">
        <is>
          <t>ÖSTRA GÖINGE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46234</v>
      </c>
      <c r="F140" t="inlineStr">
        <is>
          <t>SKÅNE LÄN</t>
        </is>
      </c>
      <c r="G140" t="inlineStr">
        <is>
          <t>ÖSTRA GÖINGE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46234</v>
      </c>
      <c r="F141" t="inlineStr">
        <is>
          <t>SKÅNE LÄN</t>
        </is>
      </c>
      <c r="G141" t="inlineStr">
        <is>
          <t>ÖSTRA GÖINGE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46234</v>
      </c>
      <c r="F142" t="inlineStr">
        <is>
          <t>SKÅNE LÄN</t>
        </is>
      </c>
      <c r="G142" t="inlineStr">
        <is>
          <t>ÖSTRA GÖINGE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46234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46234</v>
      </c>
      <c r="F144" t="inlineStr">
        <is>
          <t>SKÅNE LÄN</t>
        </is>
      </c>
      <c r="G144" t="inlineStr">
        <is>
          <t>ÖSTRA GÖINGE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46234</v>
      </c>
      <c r="F145" t="inlineStr">
        <is>
          <t>SKÅNE LÄN</t>
        </is>
      </c>
      <c r="G145" t="inlineStr">
        <is>
          <t>ÖSTRA GÖINGE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46234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46234</v>
      </c>
      <c r="F147" t="inlineStr">
        <is>
          <t>SKÅNE LÄN</t>
        </is>
      </c>
      <c r="G147" t="inlineStr">
        <is>
          <t>ÖSTRA GÖINGE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45674</v>
      </c>
      <c r="E148" s="1" t="n">
        <v>46234</v>
      </c>
      <c r="F148" t="inlineStr">
        <is>
          <t>SKÅNE LÄN</t>
        </is>
      </c>
      <c r="G148" t="inlineStr">
        <is>
          <t>ÖSTRA GÖINGE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46234</v>
      </c>
      <c r="F149" t="inlineStr">
        <is>
          <t>SKÅNE LÄN</t>
        </is>
      </c>
      <c r="G149" t="inlineStr">
        <is>
          <t>ÖSTRA GÖINGE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46234</v>
      </c>
      <c r="F150" t="inlineStr">
        <is>
          <t>SKÅNE LÄN</t>
        </is>
      </c>
      <c r="G150" t="inlineStr">
        <is>
          <t>ÖSTRA GÖINGE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46234</v>
      </c>
      <c r="F151" t="inlineStr">
        <is>
          <t>SKÅNE LÄN</t>
        </is>
      </c>
      <c r="G151" t="inlineStr">
        <is>
          <t>ÖSTRA GÖINGE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46234</v>
      </c>
      <c r="F152" t="inlineStr">
        <is>
          <t>SKÅNE LÄN</t>
        </is>
      </c>
      <c r="G152" t="inlineStr">
        <is>
          <t>ÖSTRA GÖINGE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46234</v>
      </c>
      <c r="F153" t="inlineStr">
        <is>
          <t>SKÅNE LÄN</t>
        </is>
      </c>
      <c r="G153" t="inlineStr">
        <is>
          <t>ÖSTRA GÖINGE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46234</v>
      </c>
      <c r="F154" t="inlineStr">
        <is>
          <t>SKÅNE LÄN</t>
        </is>
      </c>
      <c r="G154" t="inlineStr">
        <is>
          <t>ÖSTRA GÖINGE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46234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46234</v>
      </c>
      <c r="F156" t="inlineStr">
        <is>
          <t>SKÅNE LÄN</t>
        </is>
      </c>
      <c r="G156" t="inlineStr">
        <is>
          <t>ÖSTRA GÖINGE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46234</v>
      </c>
      <c r="F157" t="inlineStr">
        <is>
          <t>SKÅNE LÄN</t>
        </is>
      </c>
      <c r="G157" t="inlineStr">
        <is>
          <t>ÖSTRA GÖINGE</t>
        </is>
      </c>
      <c r="I157" t="n">
        <v>10.4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46234</v>
      </c>
      <c r="F158" t="inlineStr">
        <is>
          <t>SKÅNE LÄN</t>
        </is>
      </c>
      <c r="G158" t="inlineStr">
        <is>
          <t>ÖSTRA GÖINGE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46234</v>
      </c>
      <c r="F159" t="inlineStr">
        <is>
          <t>SKÅNE LÄN</t>
        </is>
      </c>
      <c r="G159" t="inlineStr">
        <is>
          <t>ÖSTRA GÖINGE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46234</v>
      </c>
      <c r="F160" t="inlineStr">
        <is>
          <t>SKÅNE LÄN</t>
        </is>
      </c>
      <c r="G160" t="inlineStr">
        <is>
          <t>ÖSTRA GÖINGE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46234</v>
      </c>
      <c r="F161" t="inlineStr">
        <is>
          <t>SKÅNE LÄN</t>
        </is>
      </c>
      <c r="G161" t="inlineStr">
        <is>
          <t>ÖSTRA GÖINGE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46234</v>
      </c>
      <c r="F162" t="inlineStr">
        <is>
          <t>SKÅNE LÄN</t>
        </is>
      </c>
      <c r="G162" t="inlineStr">
        <is>
          <t>ÖSTRA GÖINGE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45274</v>
      </c>
      <c r="E163" s="1" t="n">
        <v>46234</v>
      </c>
      <c r="F163" t="inlineStr">
        <is>
          <t>SKÅNE LÄN</t>
        </is>
      </c>
      <c r="G163" t="inlineStr">
        <is>
          <t>ÖSTRA GÖINGE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46234</v>
      </c>
      <c r="F164" t="inlineStr">
        <is>
          <t>SKÅNE LÄN</t>
        </is>
      </c>
      <c r="G164" t="inlineStr">
        <is>
          <t>ÖSTRA GÖINGE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46234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55140-2022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46234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46234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46234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46234</v>
      </c>
      <c r="F169" t="inlineStr">
        <is>
          <t>SKÅNE LÄN</t>
        </is>
      </c>
      <c r="G169" t="inlineStr">
        <is>
          <t>ÖSTRA GÖINGE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46234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46234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46234</v>
      </c>
      <c r="F172" t="inlineStr">
        <is>
          <t>SKÅNE LÄN</t>
        </is>
      </c>
      <c r="G172" t="inlineStr">
        <is>
          <t>ÖSTRA GÖINGE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46234</v>
      </c>
      <c r="F173" t="inlineStr">
        <is>
          <t>SKÅNE LÄN</t>
        </is>
      </c>
      <c r="G173" t="inlineStr">
        <is>
          <t>ÖSTRA GÖINGE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45667</v>
      </c>
      <c r="E174" s="1" t="n">
        <v>46234</v>
      </c>
      <c r="F174" t="inlineStr">
        <is>
          <t>SKÅNE LÄN</t>
        </is>
      </c>
      <c r="G174" t="inlineStr">
        <is>
          <t>ÖSTRA GÖINGE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36324-2022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44803</v>
      </c>
      <c r="E175" s="1" t="n">
        <v>46234</v>
      </c>
      <c r="F175" t="inlineStr">
        <is>
          <t>SKÅNE LÄN</t>
        </is>
      </c>
      <c r="G175" t="inlineStr">
        <is>
          <t>ÖSTRA GÖINGE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46234</v>
      </c>
      <c r="F176" t="inlineStr">
        <is>
          <t>SKÅNE LÄN</t>
        </is>
      </c>
      <c r="G176" t="inlineStr">
        <is>
          <t>ÖSTRA GÖINGE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46234</v>
      </c>
      <c r="F177" t="inlineStr">
        <is>
          <t>SKÅNE LÄN</t>
        </is>
      </c>
      <c r="G177" t="inlineStr">
        <is>
          <t>ÖSTRA GÖINGE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46234</v>
      </c>
      <c r="F178" t="inlineStr">
        <is>
          <t>SKÅNE LÄN</t>
        </is>
      </c>
      <c r="G178" t="inlineStr">
        <is>
          <t>ÖSTRA GÖINGE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46234</v>
      </c>
      <c r="F179" t="inlineStr">
        <is>
          <t>SKÅNE LÄN</t>
        </is>
      </c>
      <c r="G179" t="inlineStr">
        <is>
          <t>ÖSTRA GÖINGE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46234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46234</v>
      </c>
      <c r="F181" t="inlineStr">
        <is>
          <t>SKÅNE LÄN</t>
        </is>
      </c>
      <c r="G181" t="inlineStr">
        <is>
          <t>ÖSTRA GÖINGE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46234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46234</v>
      </c>
      <c r="F183" t="inlineStr">
        <is>
          <t>SKÅNE LÄN</t>
        </is>
      </c>
      <c r="G183" t="inlineStr">
        <is>
          <t>ÖSTRA GÖINGE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46234</v>
      </c>
      <c r="F184" t="inlineStr">
        <is>
          <t>SKÅNE LÄN</t>
        </is>
      </c>
      <c r="G184" t="inlineStr">
        <is>
          <t>ÖSTRA GÖINGE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46234</v>
      </c>
      <c r="F185" t="inlineStr">
        <is>
          <t>SKÅNE LÄN</t>
        </is>
      </c>
      <c r="G185" t="inlineStr">
        <is>
          <t>ÖSTRA GÖINGE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46234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45970</v>
      </c>
      <c r="E187" s="1" t="n">
        <v>46234</v>
      </c>
      <c r="F187" t="inlineStr">
        <is>
          <t>SKÅNE LÄN</t>
        </is>
      </c>
      <c r="G187" t="inlineStr">
        <is>
          <t>ÖSTRA GÖINGE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46234</v>
      </c>
      <c r="F188" t="inlineStr">
        <is>
          <t>SKÅNE LÄN</t>
        </is>
      </c>
      <c r="G188" t="inlineStr">
        <is>
          <t>ÖSTRA GÖINGE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46234</v>
      </c>
      <c r="F189" t="inlineStr">
        <is>
          <t>SKÅNE LÄN</t>
        </is>
      </c>
      <c r="G189" t="inlineStr">
        <is>
          <t>ÖSTRA GÖINGE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45638</v>
      </c>
      <c r="E190" s="1" t="n">
        <v>46234</v>
      </c>
      <c r="F190" t="inlineStr">
        <is>
          <t>SKÅNE LÄN</t>
        </is>
      </c>
      <c r="G190" t="inlineStr">
        <is>
          <t>ÖSTRA GÖINGE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35547-2023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45146</v>
      </c>
      <c r="E191" s="1" t="n">
        <v>46234</v>
      </c>
      <c r="F191" t="inlineStr">
        <is>
          <t>SKÅNE LÄN</t>
        </is>
      </c>
      <c r="G191" t="inlineStr">
        <is>
          <t>ÖSTRA GÖINGE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46234</v>
      </c>
      <c r="F192" t="inlineStr">
        <is>
          <t>SKÅNE LÄN</t>
        </is>
      </c>
      <c r="G192" t="inlineStr">
        <is>
          <t>ÖSTRA GÖINGE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46234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46234</v>
      </c>
      <c r="F194" t="inlineStr">
        <is>
          <t>SKÅNE LÄN</t>
        </is>
      </c>
      <c r="G194" t="inlineStr">
        <is>
          <t>ÖSTRA GÖINGE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46234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45227</v>
      </c>
      <c r="E196" s="1" t="n">
        <v>46234</v>
      </c>
      <c r="F196" t="inlineStr">
        <is>
          <t>SKÅNE LÄN</t>
        </is>
      </c>
      <c r="G196" t="inlineStr">
        <is>
          <t>ÖSTRA GÖINGE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46234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46234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46234</v>
      </c>
      <c r="F199" t="inlineStr">
        <is>
          <t>SKÅNE LÄN</t>
        </is>
      </c>
      <c r="G199" t="inlineStr">
        <is>
          <t>ÖSTRA GÖINGE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46234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46234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45428</v>
      </c>
      <c r="E202" s="1" t="n">
        <v>46234</v>
      </c>
      <c r="F202" t="inlineStr">
        <is>
          <t>SKÅNE LÄN</t>
        </is>
      </c>
      <c r="G202" t="inlineStr">
        <is>
          <t>ÖSTRA GÖINGE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46234</v>
      </c>
      <c r="F203" t="inlineStr">
        <is>
          <t>SKÅNE LÄN</t>
        </is>
      </c>
      <c r="G203" t="inlineStr">
        <is>
          <t>ÖSTRA GÖINGE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46234</v>
      </c>
      <c r="F204" t="inlineStr">
        <is>
          <t>SKÅNE LÄN</t>
        </is>
      </c>
      <c r="G204" t="inlineStr">
        <is>
          <t>ÖSTRA GÖINGE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46234</v>
      </c>
      <c r="F205" t="inlineStr">
        <is>
          <t>SKÅNE LÄN</t>
        </is>
      </c>
      <c r="G205" t="inlineStr">
        <is>
          <t>ÖSTRA GÖINGE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46234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46234</v>
      </c>
      <c r="F207" t="inlineStr">
        <is>
          <t>SKÅNE LÄN</t>
        </is>
      </c>
      <c r="G207" t="inlineStr">
        <is>
          <t>ÖSTRA GÖINGE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46234</v>
      </c>
      <c r="F208" t="inlineStr">
        <is>
          <t>SKÅNE LÄN</t>
        </is>
      </c>
      <c r="G208" t="inlineStr">
        <is>
          <t>ÖSTRA GÖINGE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46234</v>
      </c>
      <c r="F209" t="inlineStr">
        <is>
          <t>SKÅNE LÄN</t>
        </is>
      </c>
      <c r="G209" t="inlineStr">
        <is>
          <t>ÖSTRA GÖINGE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46234</v>
      </c>
      <c r="F210" t="inlineStr">
        <is>
          <t>SKÅNE LÄN</t>
        </is>
      </c>
      <c r="G210" t="inlineStr">
        <is>
          <t>ÖSTRA GÖINGE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46234</v>
      </c>
      <c r="F211" t="inlineStr">
        <is>
          <t>SKÅNE LÄN</t>
        </is>
      </c>
      <c r="G211" t="inlineStr">
        <is>
          <t>ÖSTRA GÖINGE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45686</v>
      </c>
      <c r="E212" s="1" t="n">
        <v>46234</v>
      </c>
      <c r="F212" t="inlineStr">
        <is>
          <t>SKÅNE LÄN</t>
        </is>
      </c>
      <c r="G212" t="inlineStr">
        <is>
          <t>ÖSTRA GÖINGE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46234</v>
      </c>
      <c r="F213" t="inlineStr">
        <is>
          <t>SKÅNE LÄN</t>
        </is>
      </c>
      <c r="G213" t="inlineStr">
        <is>
          <t>ÖSTRA GÖINGE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46234</v>
      </c>
      <c r="F214" t="inlineStr">
        <is>
          <t>SKÅNE LÄN</t>
        </is>
      </c>
      <c r="G214" t="inlineStr">
        <is>
          <t>ÖSTRA GÖINGE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44937</v>
      </c>
      <c r="E215" s="1" t="n">
        <v>46234</v>
      </c>
      <c r="F215" t="inlineStr">
        <is>
          <t>SKÅNE LÄN</t>
        </is>
      </c>
      <c r="G215" t="inlineStr">
        <is>
          <t>ÖSTRA GÖINGE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46234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46234</v>
      </c>
      <c r="F217" t="inlineStr">
        <is>
          <t>SKÅNE LÄN</t>
        </is>
      </c>
      <c r="G217" t="inlineStr">
        <is>
          <t>ÖSTRA GÖINGE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46234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46234</v>
      </c>
      <c r="F219" t="inlineStr">
        <is>
          <t>SKÅNE LÄN</t>
        </is>
      </c>
      <c r="G219" t="inlineStr">
        <is>
          <t>ÖSTRA GÖINGE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44937</v>
      </c>
      <c r="E220" s="1" t="n">
        <v>46234</v>
      </c>
      <c r="F220" t="inlineStr">
        <is>
          <t>SKÅNE LÄN</t>
        </is>
      </c>
      <c r="G220" t="inlineStr">
        <is>
          <t>ÖSTRA GÖINGE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46234</v>
      </c>
      <c r="F221" t="inlineStr">
        <is>
          <t>SKÅNE LÄN</t>
        </is>
      </c>
      <c r="G221" t="inlineStr">
        <is>
          <t>ÖSTRA GÖINGE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71741-2021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44539</v>
      </c>
      <c r="E222" s="1" t="n">
        <v>46234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46234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46234</v>
      </c>
      <c r="F224" t="inlineStr">
        <is>
          <t>SKÅNE LÄN</t>
        </is>
      </c>
      <c r="G224" t="inlineStr">
        <is>
          <t>ÖSTRA GÖINGE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46234</v>
      </c>
      <c r="F225" t="inlineStr">
        <is>
          <t>SKÅNE LÄN</t>
        </is>
      </c>
      <c r="G225" t="inlineStr">
        <is>
          <t>ÖSTRA GÖINGE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46279-2024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45581</v>
      </c>
      <c r="E226" s="1" t="n">
        <v>46234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46234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44853</v>
      </c>
      <c r="E228" s="1" t="n">
        <v>46234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46234</v>
      </c>
      <c r="F229" t="inlineStr">
        <is>
          <t>SKÅNE LÄN</t>
        </is>
      </c>
      <c r="G229" t="inlineStr">
        <is>
          <t>ÖSTRA GÖINGE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46234</v>
      </c>
      <c r="F230" t="inlineStr">
        <is>
          <t>SKÅNE LÄN</t>
        </is>
      </c>
      <c r="G230" t="inlineStr">
        <is>
          <t>ÖSTRA GÖINGE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45268</v>
      </c>
      <c r="E231" s="1" t="n">
        <v>46234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46234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46234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46234</v>
      </c>
      <c r="F234" t="inlineStr">
        <is>
          <t>SKÅNE LÄN</t>
        </is>
      </c>
      <c r="G234" t="inlineStr">
        <is>
          <t>ÖSTRA GÖINGE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46234</v>
      </c>
      <c r="F235" t="inlineStr">
        <is>
          <t>SKÅNE LÄN</t>
        </is>
      </c>
      <c r="G235" t="inlineStr">
        <is>
          <t>ÖSTRA GÖINGE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46234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46234</v>
      </c>
      <c r="F237" t="inlineStr">
        <is>
          <t>SKÅNE LÄN</t>
        </is>
      </c>
      <c r="G237" t="inlineStr">
        <is>
          <t>ÖSTRA GÖINGE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46234</v>
      </c>
      <c r="F238" t="inlineStr">
        <is>
          <t>SKÅNE LÄN</t>
        </is>
      </c>
      <c r="G238" t="inlineStr">
        <is>
          <t>ÖSTRA GÖINGE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45410</v>
      </c>
      <c r="E239" s="1" t="n">
        <v>46234</v>
      </c>
      <c r="F239" t="inlineStr">
        <is>
          <t>SKÅNE LÄN</t>
        </is>
      </c>
      <c r="G239" t="inlineStr">
        <is>
          <t>ÖSTRA GÖINGE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46234</v>
      </c>
      <c r="F240" t="inlineStr">
        <is>
          <t>SKÅNE LÄN</t>
        </is>
      </c>
      <c r="G240" t="inlineStr">
        <is>
          <t>ÖSTRA GÖINGE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46234</v>
      </c>
      <c r="F241" t="inlineStr">
        <is>
          <t>SKÅNE LÄN</t>
        </is>
      </c>
      <c r="G241" t="inlineStr">
        <is>
          <t>ÖSTRA GÖINGE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46234</v>
      </c>
      <c r="F242" t="inlineStr">
        <is>
          <t>SKÅNE LÄN</t>
        </is>
      </c>
      <c r="G242" t="inlineStr">
        <is>
          <t>ÖSTRA GÖINGE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46234</v>
      </c>
      <c r="F243" t="inlineStr">
        <is>
          <t>SKÅNE LÄN</t>
        </is>
      </c>
      <c r="G243" t="inlineStr">
        <is>
          <t>ÖSTRA GÖINGE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46234</v>
      </c>
      <c r="F244" t="inlineStr">
        <is>
          <t>SKÅNE LÄN</t>
        </is>
      </c>
      <c r="G244" t="inlineStr">
        <is>
          <t>ÖSTRA GÖINGE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46234</v>
      </c>
      <c r="F245" t="inlineStr">
        <is>
          <t>SKÅNE LÄN</t>
        </is>
      </c>
      <c r="G245" t="inlineStr">
        <is>
          <t>ÖSTRA GÖINGE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46234</v>
      </c>
      <c r="F246" t="inlineStr">
        <is>
          <t>SKÅNE LÄN</t>
        </is>
      </c>
      <c r="G246" t="inlineStr">
        <is>
          <t>ÖSTRA GÖINGE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46234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46234</v>
      </c>
      <c r="F248" t="inlineStr">
        <is>
          <t>SKÅNE LÄN</t>
        </is>
      </c>
      <c r="G248" t="inlineStr">
        <is>
          <t>ÖSTRA GÖINGE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45172</v>
      </c>
      <c r="E249" s="1" t="n">
        <v>46234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46234</v>
      </c>
      <c r="F250" t="inlineStr">
        <is>
          <t>SKÅNE LÄN</t>
        </is>
      </c>
      <c r="G250" t="inlineStr">
        <is>
          <t>ÖSTRA GÖINGE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46234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46234</v>
      </c>
      <c r="F252" t="inlineStr">
        <is>
          <t>SKÅNE LÄN</t>
        </is>
      </c>
      <c r="G252" t="inlineStr">
        <is>
          <t>ÖSTRA GÖINGE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46234</v>
      </c>
      <c r="F253" t="inlineStr">
        <is>
          <t>SKÅNE LÄN</t>
        </is>
      </c>
      <c r="G253" t="inlineStr">
        <is>
          <t>ÖSTRA GÖINGE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46234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46234</v>
      </c>
      <c r="F255" t="inlineStr">
        <is>
          <t>SKÅNE LÄN</t>
        </is>
      </c>
      <c r="G255" t="inlineStr">
        <is>
          <t>ÖSTRA GÖINGE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46234</v>
      </c>
      <c r="F256" t="inlineStr">
        <is>
          <t>SKÅNE LÄN</t>
        </is>
      </c>
      <c r="G256" t="inlineStr">
        <is>
          <t>ÖSTRA GÖINGE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45680</v>
      </c>
      <c r="E257" s="1" t="n">
        <v>46234</v>
      </c>
      <c r="F257" t="inlineStr">
        <is>
          <t>SKÅNE LÄN</t>
        </is>
      </c>
      <c r="G257" t="inlineStr">
        <is>
          <t>ÖSTRA GÖINGE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37550-2024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46234</v>
      </c>
      <c r="F258" t="inlineStr">
        <is>
          <t>SKÅNE LÄN</t>
        </is>
      </c>
      <c r="G258" t="inlineStr">
        <is>
          <t>ÖSTRA GÖINGE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46234</v>
      </c>
      <c r="F259" t="inlineStr">
        <is>
          <t>SKÅNE LÄN</t>
        </is>
      </c>
      <c r="G259" t="inlineStr">
        <is>
          <t>ÖSTRA GÖINGE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44466</v>
      </c>
      <c r="E260" s="1" t="n">
        <v>46234</v>
      </c>
      <c r="F260" t="inlineStr">
        <is>
          <t>SKÅNE LÄN</t>
        </is>
      </c>
      <c r="G260" t="inlineStr">
        <is>
          <t>ÖSTRA GÖINGE</t>
        </is>
      </c>
      <c r="H260" t="inlineStr">
        <is>
          <t>Sveaskog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44606</v>
      </c>
      <c r="E261" s="1" t="n">
        <v>46234</v>
      </c>
      <c r="F261" t="inlineStr">
        <is>
          <t>SKÅNE LÄN</t>
        </is>
      </c>
      <c r="G261" t="inlineStr">
        <is>
          <t>ÖSTRA GÖINGE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45632</v>
      </c>
      <c r="E262" s="1" t="n">
        <v>46234</v>
      </c>
      <c r="F262" t="inlineStr">
        <is>
          <t>SKÅNE LÄN</t>
        </is>
      </c>
      <c r="G262" t="inlineStr">
        <is>
          <t>ÖSTRA GÖINGE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46234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46234</v>
      </c>
      <c r="F264" t="inlineStr">
        <is>
          <t>SKÅNE LÄN</t>
        </is>
      </c>
      <c r="G264" t="inlineStr">
        <is>
          <t>ÖSTRA GÖINGE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34649-2023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46234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46234</v>
      </c>
      <c r="F266" t="inlineStr">
        <is>
          <t>SKÅNE LÄN</t>
        </is>
      </c>
      <c r="G266" t="inlineStr">
        <is>
          <t>ÖSTRA GÖINGE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46234</v>
      </c>
      <c r="F267" t="inlineStr">
        <is>
          <t>SKÅNE LÄN</t>
        </is>
      </c>
      <c r="G267" t="inlineStr">
        <is>
          <t>ÖSTRA GÖINGE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7057-2026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46057</v>
      </c>
      <c r="E268" s="1" t="n">
        <v>46234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46234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46234</v>
      </c>
      <c r="F270" t="inlineStr">
        <is>
          <t>SKÅNE LÄN</t>
        </is>
      </c>
      <c r="G270" t="inlineStr">
        <is>
          <t>ÖSTRA GÖINGE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46234</v>
      </c>
      <c r="F271" t="inlineStr">
        <is>
          <t>SKÅNE LÄN</t>
        </is>
      </c>
      <c r="G271" t="inlineStr">
        <is>
          <t>ÖSTRA GÖINGE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69383-2021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46234</v>
      </c>
      <c r="F272" t="inlineStr">
        <is>
          <t>SKÅNE LÄN</t>
        </is>
      </c>
      <c r="G272" t="inlineStr">
        <is>
          <t>ÖSTRA GÖINGE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69390-2021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46234</v>
      </c>
      <c r="F273" t="inlineStr">
        <is>
          <t>SKÅNE LÄN</t>
        </is>
      </c>
      <c r="G273" t="inlineStr">
        <is>
          <t>ÖSTRA GÖINGE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46234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46234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64181-2023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45279</v>
      </c>
      <c r="E276" s="1" t="n">
        <v>46234</v>
      </c>
      <c r="F276" t="inlineStr">
        <is>
          <t>SKÅNE LÄN</t>
        </is>
      </c>
      <c r="G276" t="inlineStr">
        <is>
          <t>ÖSTRA GÖINGE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46234</v>
      </c>
      <c r="F277" t="inlineStr">
        <is>
          <t>SKÅNE LÄN</t>
        </is>
      </c>
      <c r="G277" t="inlineStr">
        <is>
          <t>ÖSTRA GÖINGE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46234</v>
      </c>
      <c r="F278" t="inlineStr">
        <is>
          <t>SKÅNE LÄN</t>
        </is>
      </c>
      <c r="G278" t="inlineStr">
        <is>
          <t>ÖSTRA GÖINGE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46234</v>
      </c>
      <c r="F279" t="inlineStr">
        <is>
          <t>SKÅNE LÄN</t>
        </is>
      </c>
      <c r="G279" t="inlineStr">
        <is>
          <t>ÖSTRA GÖINGE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46234</v>
      </c>
      <c r="F280" t="inlineStr">
        <is>
          <t>SKÅNE LÄN</t>
        </is>
      </c>
      <c r="G280" t="inlineStr">
        <is>
          <t>ÖSTRA GÖINGE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44956</v>
      </c>
      <c r="E281" s="1" t="n">
        <v>46234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46234</v>
      </c>
      <c r="F282" t="inlineStr">
        <is>
          <t>SKÅNE LÄN</t>
        </is>
      </c>
      <c r="G282" t="inlineStr">
        <is>
          <t>ÖSTRA GÖINGE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46234</v>
      </c>
      <c r="F283" t="inlineStr">
        <is>
          <t>SKÅNE LÄN</t>
        </is>
      </c>
      <c r="G283" t="inlineStr">
        <is>
          <t>ÖSTRA GÖINGE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45239</v>
      </c>
      <c r="E284" s="1" t="n">
        <v>46234</v>
      </c>
      <c r="F284" t="inlineStr">
        <is>
          <t>SKÅNE LÄN</t>
        </is>
      </c>
      <c r="G284" t="inlineStr">
        <is>
          <t>ÖSTRA GÖINGE</t>
        </is>
      </c>
      <c r="I284" t="n">
        <v>10.6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46234</v>
      </c>
      <c r="F285" t="inlineStr">
        <is>
          <t>SKÅNE LÄN</t>
        </is>
      </c>
      <c r="G285" t="inlineStr">
        <is>
          <t>ÖSTRA GÖINGE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46234</v>
      </c>
      <c r="F286" t="inlineStr">
        <is>
          <t>SKÅNE LÄN</t>
        </is>
      </c>
      <c r="G286" t="inlineStr">
        <is>
          <t>ÖSTRA GÖINGE</t>
        </is>
      </c>
      <c r="I286" t="n">
        <v>12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46234</v>
      </c>
      <c r="F287" t="inlineStr">
        <is>
          <t>SKÅNE LÄN</t>
        </is>
      </c>
      <c r="G287" t="inlineStr">
        <is>
          <t>ÖSTRA GÖINGE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46234</v>
      </c>
      <c r="F288" t="inlineStr">
        <is>
          <t>SKÅNE LÄN</t>
        </is>
      </c>
      <c r="G288" t="inlineStr">
        <is>
          <t>ÖSTRA GÖINGE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46234</v>
      </c>
      <c r="F289" t="inlineStr">
        <is>
          <t>SKÅNE LÄN</t>
        </is>
      </c>
      <c r="G289" t="inlineStr">
        <is>
          <t>ÖSTRA GÖINGE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45856</v>
      </c>
      <c r="E290" s="1" t="n">
        <v>46234</v>
      </c>
      <c r="F290" t="inlineStr">
        <is>
          <t>SKÅNE LÄN</t>
        </is>
      </c>
      <c r="G290" t="inlineStr">
        <is>
          <t>ÖSTRA GÖINGE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45856</v>
      </c>
      <c r="E291" s="1" t="n">
        <v>46234</v>
      </c>
      <c r="F291" t="inlineStr">
        <is>
          <t>SKÅNE LÄN</t>
        </is>
      </c>
      <c r="G291" t="inlineStr">
        <is>
          <t>ÖSTRA GÖINGE</t>
        </is>
      </c>
      <c r="I291" t="n">
        <v>11.9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44873</v>
      </c>
      <c r="E292" s="1" t="n">
        <v>46234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46234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46234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46234</v>
      </c>
      <c r="F295" t="inlineStr">
        <is>
          <t>SKÅNE LÄN</t>
        </is>
      </c>
      <c r="G295" t="inlineStr">
        <is>
          <t>ÖSTRA GÖINGE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46234</v>
      </c>
      <c r="F296" t="inlineStr">
        <is>
          <t>SKÅNE LÄN</t>
        </is>
      </c>
      <c r="G296" t="inlineStr">
        <is>
          <t>ÖSTRA GÖINGE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46234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50922-2021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44459</v>
      </c>
      <c r="E298" s="1" t="n">
        <v>46234</v>
      </c>
      <c r="F298" t="inlineStr">
        <is>
          <t>SKÅNE LÄN</t>
        </is>
      </c>
      <c r="G298" t="inlineStr">
        <is>
          <t>ÖSTRA GÖINGE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46234</v>
      </c>
      <c r="F299" t="inlineStr">
        <is>
          <t>SKÅNE LÄN</t>
        </is>
      </c>
      <c r="G299" t="inlineStr">
        <is>
          <t>ÖSTRA GÖINGE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45443</v>
      </c>
      <c r="E300" s="1" t="n">
        <v>46234</v>
      </c>
      <c r="F300" t="inlineStr">
        <is>
          <t>SKÅNE LÄN</t>
        </is>
      </c>
      <c r="G300" t="inlineStr">
        <is>
          <t>ÖSTRA GÖINGE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46234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66526-2021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44519</v>
      </c>
      <c r="E302" s="1" t="n">
        <v>46234</v>
      </c>
      <c r="F302" t="inlineStr">
        <is>
          <t>SKÅNE LÄN</t>
        </is>
      </c>
      <c r="G302" t="inlineStr">
        <is>
          <t>ÖSTRA GÖINGE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44929</v>
      </c>
      <c r="E303" s="1" t="n">
        <v>46234</v>
      </c>
      <c r="F303" t="inlineStr">
        <is>
          <t>SKÅNE LÄN</t>
        </is>
      </c>
      <c r="G303" t="inlineStr">
        <is>
          <t>ÖSTRA GÖINGE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46234</v>
      </c>
      <c r="F304" t="inlineStr">
        <is>
          <t>SKÅNE LÄN</t>
        </is>
      </c>
      <c r="G304" t="inlineStr">
        <is>
          <t>ÖSTRA GÖINGE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46234</v>
      </c>
      <c r="F305" t="inlineStr">
        <is>
          <t>SKÅNE LÄN</t>
        </is>
      </c>
      <c r="G305" t="inlineStr">
        <is>
          <t>ÖSTRA GÖINGE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44686</v>
      </c>
      <c r="E306" s="1" t="n">
        <v>46234</v>
      </c>
      <c r="F306" t="inlineStr">
        <is>
          <t>SKÅNE LÄN</t>
        </is>
      </c>
      <c r="G306" t="inlineStr">
        <is>
          <t>ÖSTRA GÖINGE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45435</v>
      </c>
      <c r="E307" s="1" t="n">
        <v>46234</v>
      </c>
      <c r="F307" t="inlineStr">
        <is>
          <t>SKÅNE LÄN</t>
        </is>
      </c>
      <c r="G307" t="inlineStr">
        <is>
          <t>ÖSTRA GÖINGE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46234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46234</v>
      </c>
      <c r="F309" t="inlineStr">
        <is>
          <t>SKÅNE LÄN</t>
        </is>
      </c>
      <c r="G309" t="inlineStr">
        <is>
          <t>ÖSTRA GÖINGE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42192-2023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45179</v>
      </c>
      <c r="E310" s="1" t="n">
        <v>46234</v>
      </c>
      <c r="F310" t="inlineStr">
        <is>
          <t>SKÅNE LÄN</t>
        </is>
      </c>
      <c r="G310" t="inlineStr">
        <is>
          <t>ÖSTRA GÖINGE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46234</v>
      </c>
      <c r="F311" t="inlineStr">
        <is>
          <t>SKÅNE LÄN</t>
        </is>
      </c>
      <c r="G311" t="inlineStr">
        <is>
          <t>ÖSTRA GÖINGE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44910</v>
      </c>
      <c r="E312" s="1" t="n">
        <v>46234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42592-2021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44428</v>
      </c>
      <c r="E313" s="1" t="n">
        <v>46234</v>
      </c>
      <c r="F313" t="inlineStr">
        <is>
          <t>SKÅNE LÄN</t>
        </is>
      </c>
      <c r="G313" t="inlineStr">
        <is>
          <t>ÖSTRA GÖINGE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46234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46234</v>
      </c>
      <c r="F315" t="inlineStr">
        <is>
          <t>SKÅNE LÄN</t>
        </is>
      </c>
      <c r="G315" t="inlineStr">
        <is>
          <t>ÖSTRA GÖINGE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46234</v>
      </c>
      <c r="F316" t="inlineStr">
        <is>
          <t>SKÅNE LÄN</t>
        </is>
      </c>
      <c r="G316" t="inlineStr">
        <is>
          <t>ÖSTRA GÖINGE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44826</v>
      </c>
      <c r="E317" s="1" t="n">
        <v>46234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46234</v>
      </c>
      <c r="F318" t="inlineStr">
        <is>
          <t>SKÅNE LÄN</t>
        </is>
      </c>
      <c r="G318" t="inlineStr">
        <is>
          <t>ÖSTRA GÖINGE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46234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45349</v>
      </c>
      <c r="E320" s="1" t="n">
        <v>46234</v>
      </c>
      <c r="F320" t="inlineStr">
        <is>
          <t>SKÅNE LÄN</t>
        </is>
      </c>
      <c r="G320" t="inlineStr">
        <is>
          <t>ÖSTRA GÖINGE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46234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46234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46234</v>
      </c>
      <c r="F323" t="inlineStr">
        <is>
          <t>SKÅNE LÄN</t>
        </is>
      </c>
      <c r="G323" t="inlineStr">
        <is>
          <t>ÖSTRA GÖINGE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19192-2026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46234</v>
      </c>
      <c r="F324" t="inlineStr">
        <is>
          <t>SKÅNE LÄN</t>
        </is>
      </c>
      <c r="G324" t="inlineStr">
        <is>
          <t>ÖSTRA GÖINGE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46234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46234</v>
      </c>
      <c r="F326" t="inlineStr">
        <is>
          <t>SKÅNE LÄN</t>
        </is>
      </c>
      <c r="G326" t="inlineStr">
        <is>
          <t>ÖSTRA GÖINGE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46234</v>
      </c>
      <c r="F327" t="inlineStr">
        <is>
          <t>SKÅNE LÄN</t>
        </is>
      </c>
      <c r="G327" t="inlineStr">
        <is>
          <t>ÖSTRA GÖINGE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46234</v>
      </c>
      <c r="F328" t="inlineStr">
        <is>
          <t>SKÅNE LÄN</t>
        </is>
      </c>
      <c r="G328" t="inlineStr">
        <is>
          <t>ÖSTRA GÖINGE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46234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46234</v>
      </c>
      <c r="F330" t="inlineStr">
        <is>
          <t>SKÅNE LÄN</t>
        </is>
      </c>
      <c r="G330" t="inlineStr">
        <is>
          <t>ÖSTRA GÖINGE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46234</v>
      </c>
      <c r="F331" t="inlineStr">
        <is>
          <t>SKÅNE LÄN</t>
        </is>
      </c>
      <c r="G331" t="inlineStr">
        <is>
          <t>ÖSTRA GÖINGE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74142-2021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44557</v>
      </c>
      <c r="E332" s="1" t="n">
        <v>46234</v>
      </c>
      <c r="F332" t="inlineStr">
        <is>
          <t>SKÅNE LÄN</t>
        </is>
      </c>
      <c r="G332" t="inlineStr">
        <is>
          <t>ÖSTRA GÖINGE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46234</v>
      </c>
      <c r="F333" t="inlineStr">
        <is>
          <t>SKÅNE LÄN</t>
        </is>
      </c>
      <c r="G333" t="inlineStr">
        <is>
          <t>ÖSTRA GÖINGE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44887</v>
      </c>
      <c r="E334" s="1" t="n">
        <v>46234</v>
      </c>
      <c r="F334" t="inlineStr">
        <is>
          <t>SKÅNE LÄN</t>
        </is>
      </c>
      <c r="G334" t="inlineStr">
        <is>
          <t>ÖSTRA GÖINGE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45256</v>
      </c>
      <c r="E335" s="1" t="n">
        <v>46234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45820</v>
      </c>
      <c r="E336" s="1" t="n">
        <v>46234</v>
      </c>
      <c r="F336" t="inlineStr">
        <is>
          <t>SKÅNE LÄN</t>
        </is>
      </c>
      <c r="G336" t="inlineStr">
        <is>
          <t>ÖSTRA GÖINGE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46234</v>
      </c>
      <c r="F337" t="inlineStr">
        <is>
          <t>SKÅNE LÄN</t>
        </is>
      </c>
      <c r="G337" t="inlineStr">
        <is>
          <t>ÖSTRA GÖINGE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46234</v>
      </c>
      <c r="F338" t="inlineStr">
        <is>
          <t>SKÅNE LÄN</t>
        </is>
      </c>
      <c r="G338" t="inlineStr">
        <is>
          <t>ÖSTRA GÖINGE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46234</v>
      </c>
      <c r="F339" t="inlineStr">
        <is>
          <t>SKÅNE LÄN</t>
        </is>
      </c>
      <c r="G339" t="inlineStr">
        <is>
          <t>ÖSTRA GÖINGE</t>
        </is>
      </c>
      <c r="H339" t="inlineStr">
        <is>
          <t>Sveaskog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45804</v>
      </c>
      <c r="E340" s="1" t="n">
        <v>46234</v>
      </c>
      <c r="F340" t="inlineStr">
        <is>
          <t>SKÅNE LÄN</t>
        </is>
      </c>
      <c r="G340" t="inlineStr">
        <is>
          <t>ÖSTRA GÖINGE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46234</v>
      </c>
      <c r="F341" t="inlineStr">
        <is>
          <t>SKÅNE LÄN</t>
        </is>
      </c>
      <c r="G341" t="inlineStr">
        <is>
          <t>ÖSTRA GÖINGE</t>
        </is>
      </c>
      <c r="I341" t="n">
        <v>15.4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46234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71747-2021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44539</v>
      </c>
      <c r="E343" s="1" t="n">
        <v>46234</v>
      </c>
      <c r="F343" t="inlineStr">
        <is>
          <t>SKÅNE LÄN</t>
        </is>
      </c>
      <c r="G343" t="inlineStr">
        <is>
          <t>ÖSTRA GÖINGE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46234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46234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46234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46234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46234</v>
      </c>
      <c r="F348" t="inlineStr">
        <is>
          <t>SKÅNE LÄN</t>
        </is>
      </c>
      <c r="G348" t="inlineStr">
        <is>
          <t>ÖSTRA GÖINGE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45530</v>
      </c>
      <c r="E349" s="1" t="n">
        <v>46234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45777-2025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45923</v>
      </c>
      <c r="E350" s="1" t="n">
        <v>46234</v>
      </c>
      <c r="F350" t="inlineStr">
        <is>
          <t>SKÅNE LÄN</t>
        </is>
      </c>
      <c r="G350" t="inlineStr">
        <is>
          <t>ÖSTRA GÖINGE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45090</v>
      </c>
      <c r="E351" s="1" t="n">
        <v>46234</v>
      </c>
      <c r="F351" t="inlineStr">
        <is>
          <t>SKÅNE LÄN</t>
        </is>
      </c>
      <c r="G351" t="inlineStr">
        <is>
          <t>ÖSTRA GÖINGE</t>
        </is>
      </c>
      <c r="I351" t="n">
        <v>12.8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46234</v>
      </c>
      <c r="F352" t="inlineStr">
        <is>
          <t>SKÅNE LÄN</t>
        </is>
      </c>
      <c r="G352" t="inlineStr">
        <is>
          <t>ÖSTRA GÖINGE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44593</v>
      </c>
      <c r="E353" s="1" t="n">
        <v>46234</v>
      </c>
      <c r="F353" t="inlineStr">
        <is>
          <t>SKÅNE LÄN</t>
        </is>
      </c>
      <c r="G353" t="inlineStr">
        <is>
          <t>ÖSTRA GÖINGE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46234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46234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48952-2022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44859</v>
      </c>
      <c r="E356" s="1" t="n">
        <v>46234</v>
      </c>
      <c r="F356" t="inlineStr">
        <is>
          <t>SKÅNE LÄN</t>
        </is>
      </c>
      <c r="G356" t="inlineStr">
        <is>
          <t>ÖSTRA GÖINGE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44958</v>
      </c>
      <c r="E357" s="1" t="n">
        <v>46234</v>
      </c>
      <c r="F357" t="inlineStr">
        <is>
          <t>SKÅNE LÄN</t>
        </is>
      </c>
      <c r="G357" t="inlineStr">
        <is>
          <t>ÖSTRA GÖINGE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44725-2022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44840</v>
      </c>
      <c r="E358" s="1" t="n">
        <v>46234</v>
      </c>
      <c r="F358" t="inlineStr">
        <is>
          <t>SKÅNE LÄN</t>
        </is>
      </c>
      <c r="G358" t="inlineStr">
        <is>
          <t>ÖSTRA GÖINGE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50896-2021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44460</v>
      </c>
      <c r="E359" s="1" t="n">
        <v>46234</v>
      </c>
      <c r="F359" t="inlineStr">
        <is>
          <t>SKÅNE LÄN</t>
        </is>
      </c>
      <c r="G359" t="inlineStr">
        <is>
          <t>ÖSTRA GÖINGE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50927-2021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46234</v>
      </c>
      <c r="F360" t="inlineStr">
        <is>
          <t>SKÅNE LÄN</t>
        </is>
      </c>
      <c r="G360" t="inlineStr">
        <is>
          <t>ÖSTRA GÖINGE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45583</v>
      </c>
      <c r="E361" s="1" t="n">
        <v>46234</v>
      </c>
      <c r="F361" t="inlineStr">
        <is>
          <t>SKÅNE LÄN</t>
        </is>
      </c>
      <c r="G361" t="inlineStr">
        <is>
          <t>ÖSTRA GÖINGE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46234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45198</v>
      </c>
      <c r="E363" s="1" t="n">
        <v>46234</v>
      </c>
      <c r="F363" t="inlineStr">
        <is>
          <t>SKÅNE LÄN</t>
        </is>
      </c>
      <c r="G363" t="inlineStr">
        <is>
          <t>ÖSTRA GÖINGE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45538</v>
      </c>
      <c r="E364" s="1" t="n">
        <v>46234</v>
      </c>
      <c r="F364" t="inlineStr">
        <is>
          <t>SKÅNE LÄN</t>
        </is>
      </c>
      <c r="G364" t="inlineStr">
        <is>
          <t>ÖSTRA GÖINGE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21260-2026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46147</v>
      </c>
      <c r="E365" s="1" t="n">
        <v>46234</v>
      </c>
      <c r="F365" t="inlineStr">
        <is>
          <t>SKÅNE LÄN</t>
        </is>
      </c>
      <c r="G365" t="inlineStr">
        <is>
          <t>ÖSTRA GÖINGE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46234</v>
      </c>
      <c r="F366" t="inlineStr">
        <is>
          <t>SKÅNE LÄN</t>
        </is>
      </c>
      <c r="G366" t="inlineStr">
        <is>
          <t>ÖSTRA GÖINGE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46234</v>
      </c>
      <c r="F367" t="inlineStr">
        <is>
          <t>SKÅNE LÄN</t>
        </is>
      </c>
      <c r="G367" t="inlineStr">
        <is>
          <t>ÖSTRA GÖINGE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69387-2021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46234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45362</v>
      </c>
      <c r="E369" s="1" t="n">
        <v>46234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46234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46234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46234</v>
      </c>
      <c r="F372" t="inlineStr">
        <is>
          <t>SKÅNE LÄN</t>
        </is>
      </c>
      <c r="G372" t="inlineStr">
        <is>
          <t>ÖSTRA GÖINGE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46234</v>
      </c>
      <c r="F373" t="inlineStr">
        <is>
          <t>SKÅNE LÄN</t>
        </is>
      </c>
      <c r="G373" t="inlineStr">
        <is>
          <t>ÖSTRA GÖINGE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44896</v>
      </c>
      <c r="E374" s="1" t="n">
        <v>46234</v>
      </c>
      <c r="F374" t="inlineStr">
        <is>
          <t>SKÅNE LÄN</t>
        </is>
      </c>
      <c r="G374" t="inlineStr">
        <is>
          <t>ÖSTRA GÖINGE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45807</v>
      </c>
      <c r="E375" s="1" t="n">
        <v>46234</v>
      </c>
      <c r="F375" t="inlineStr">
        <is>
          <t>SKÅNE LÄN</t>
        </is>
      </c>
      <c r="G375" t="inlineStr">
        <is>
          <t>ÖSTRA GÖINGE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44623</v>
      </c>
      <c r="E376" s="1" t="n">
        <v>46234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46234</v>
      </c>
      <c r="F377" t="inlineStr">
        <is>
          <t>SKÅNE LÄN</t>
        </is>
      </c>
      <c r="G377" t="inlineStr">
        <is>
          <t>ÖSTRA GÖINGE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46234</v>
      </c>
      <c r="F378" t="inlineStr">
        <is>
          <t>SKÅNE LÄN</t>
        </is>
      </c>
      <c r="G378" t="inlineStr">
        <is>
          <t>ÖSTRA GÖINGE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46234</v>
      </c>
      <c r="F379" t="inlineStr">
        <is>
          <t>SKÅNE LÄN</t>
        </is>
      </c>
      <c r="G379" t="inlineStr">
        <is>
          <t>ÖSTRA GÖINGE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45205</v>
      </c>
      <c r="E380" s="1" t="n">
        <v>46234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46234</v>
      </c>
      <c r="F381" t="inlineStr">
        <is>
          <t>SKÅNE LÄN</t>
        </is>
      </c>
      <c r="G381" t="inlineStr">
        <is>
          <t>ÖSTRA GÖINGE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45489</v>
      </c>
      <c r="E382" s="1" t="n">
        <v>46234</v>
      </c>
      <c r="F382" t="inlineStr">
        <is>
          <t>SKÅNE LÄN</t>
        </is>
      </c>
      <c r="G382" t="inlineStr">
        <is>
          <t>ÖSTRA GÖINGE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46234</v>
      </c>
      <c r="F383" t="inlineStr">
        <is>
          <t>SKÅNE LÄN</t>
        </is>
      </c>
      <c r="G383" t="inlineStr">
        <is>
          <t>ÖSTRA GÖINGE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11631-2024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45373</v>
      </c>
      <c r="E384" s="1" t="n">
        <v>46234</v>
      </c>
      <c r="F384" t="inlineStr">
        <is>
          <t>SKÅNE LÄN</t>
        </is>
      </c>
      <c r="G384" t="inlineStr">
        <is>
          <t>ÖSTRA GÖINGE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46234</v>
      </c>
      <c r="F385" t="inlineStr">
        <is>
          <t>SKÅNE LÄN</t>
        </is>
      </c>
      <c r="G385" t="inlineStr">
        <is>
          <t>ÖSTRA GÖINGE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46234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44887</v>
      </c>
      <c r="E387" s="1" t="n">
        <v>46234</v>
      </c>
      <c r="F387" t="inlineStr">
        <is>
          <t>SKÅNE LÄN</t>
        </is>
      </c>
      <c r="G387" t="inlineStr">
        <is>
          <t>ÖSTRA GÖINGE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46234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46234</v>
      </c>
      <c r="F389" t="inlineStr">
        <is>
          <t>SKÅNE LÄN</t>
        </is>
      </c>
      <c r="G389" t="inlineStr">
        <is>
          <t>ÖSTRA GÖINGE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45733</v>
      </c>
      <c r="E390" s="1" t="n">
        <v>46234</v>
      </c>
      <c r="F390" t="inlineStr">
        <is>
          <t>SKÅNE LÄN</t>
        </is>
      </c>
      <c r="G390" t="inlineStr">
        <is>
          <t>ÖSTRA GÖINGE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46234</v>
      </c>
      <c r="F391" t="inlineStr">
        <is>
          <t>SKÅNE LÄN</t>
        </is>
      </c>
      <c r="G391" t="inlineStr">
        <is>
          <t>ÖSTRA GÖINGE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46234</v>
      </c>
      <c r="F392" t="inlineStr">
        <is>
          <t>SKÅNE LÄN</t>
        </is>
      </c>
      <c r="G392" t="inlineStr">
        <is>
          <t>ÖSTRA GÖINGE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46234</v>
      </c>
      <c r="F393" t="inlineStr">
        <is>
          <t>SKÅNE LÄN</t>
        </is>
      </c>
      <c r="G393" t="inlineStr">
        <is>
          <t>ÖSTRA GÖINGE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46234</v>
      </c>
      <c r="F394" t="inlineStr">
        <is>
          <t>SKÅNE LÄN</t>
        </is>
      </c>
      <c r="G394" t="inlineStr">
        <is>
          <t>ÖSTRA GÖINGE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46234</v>
      </c>
      <c r="F395" t="inlineStr">
        <is>
          <t>SKÅNE LÄN</t>
        </is>
      </c>
      <c r="G395" t="inlineStr">
        <is>
          <t>ÖSTRA GÖINGE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46234</v>
      </c>
      <c r="F396" t="inlineStr">
        <is>
          <t>SKÅNE LÄN</t>
        </is>
      </c>
      <c r="G396" t="inlineStr">
        <is>
          <t>ÖSTRA GÖINGE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46234</v>
      </c>
      <c r="F397" t="inlineStr">
        <is>
          <t>SKÅNE LÄN</t>
        </is>
      </c>
      <c r="G397" t="inlineStr">
        <is>
          <t>ÖSTRA GÖINGE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46234</v>
      </c>
      <c r="F398" t="inlineStr">
        <is>
          <t>SKÅNE LÄN</t>
        </is>
      </c>
      <c r="G398" t="inlineStr">
        <is>
          <t>ÖSTRA GÖINGE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46234</v>
      </c>
      <c r="F399" t="inlineStr">
        <is>
          <t>SKÅNE LÄN</t>
        </is>
      </c>
      <c r="G399" t="inlineStr">
        <is>
          <t>ÖSTRA GÖINGE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46234</v>
      </c>
      <c r="F400" t="inlineStr">
        <is>
          <t>SKÅNE LÄN</t>
        </is>
      </c>
      <c r="G400" t="inlineStr">
        <is>
          <t>ÖSTRA GÖINGE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46234</v>
      </c>
      <c r="F401" t="inlineStr">
        <is>
          <t>SKÅNE LÄN</t>
        </is>
      </c>
      <c r="G401" t="inlineStr">
        <is>
          <t>ÖSTRA GÖINGE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52930-2021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44467</v>
      </c>
      <c r="E402" s="1" t="n">
        <v>46234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46234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55716-2024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45622</v>
      </c>
      <c r="E404" s="1" t="n">
        <v>46234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46234</v>
      </c>
      <c r="F405" t="inlineStr">
        <is>
          <t>SKÅNE LÄN</t>
        </is>
      </c>
      <c r="G405" t="inlineStr">
        <is>
          <t>ÖSTRA GÖINGE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44958</v>
      </c>
      <c r="E406" s="1" t="n">
        <v>46234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45574</v>
      </c>
      <c r="E407" s="1" t="n">
        <v>46234</v>
      </c>
      <c r="F407" t="inlineStr">
        <is>
          <t>SKÅNE LÄN</t>
        </is>
      </c>
      <c r="G407" t="inlineStr">
        <is>
          <t>ÖSTRA GÖINGE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30111-2026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46206</v>
      </c>
      <c r="E408" s="1" t="n">
        <v>46234</v>
      </c>
      <c r="F408" t="inlineStr">
        <is>
          <t>SKÅNE LÄN</t>
        </is>
      </c>
      <c r="G408" t="inlineStr">
        <is>
          <t>ÖSTRA GÖINGE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46234</v>
      </c>
      <c r="F409" t="inlineStr">
        <is>
          <t>SKÅNE LÄN</t>
        </is>
      </c>
      <c r="G409" t="inlineStr">
        <is>
          <t>ÖSTRA GÖINGE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46234</v>
      </c>
      <c r="F410" t="inlineStr">
        <is>
          <t>SKÅNE LÄN</t>
        </is>
      </c>
      <c r="G410" t="inlineStr">
        <is>
          <t>ÖSTRA GÖINGE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46234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44796</v>
      </c>
      <c r="E412" s="1" t="n">
        <v>46234</v>
      </c>
      <c r="F412" t="inlineStr">
        <is>
          <t>SKÅNE LÄN</t>
        </is>
      </c>
      <c r="G412" t="inlineStr">
        <is>
          <t>ÖSTRA GÖINGE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46234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46234</v>
      </c>
      <c r="F414" t="inlineStr">
        <is>
          <t>SKÅNE LÄN</t>
        </is>
      </c>
      <c r="G414" t="inlineStr">
        <is>
          <t>ÖSTRA GÖINGE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46234</v>
      </c>
      <c r="F415" t="inlineStr">
        <is>
          <t>SKÅNE LÄN</t>
        </is>
      </c>
      <c r="G415" t="inlineStr">
        <is>
          <t>ÖSTRA GÖINGE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46234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45538</v>
      </c>
      <c r="E417" s="1" t="n">
        <v>46234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45541</v>
      </c>
      <c r="E418" s="1" t="n">
        <v>46234</v>
      </c>
      <c r="F418" t="inlineStr">
        <is>
          <t>SKÅNE LÄN</t>
        </is>
      </c>
      <c r="G418" t="inlineStr">
        <is>
          <t>ÖSTRA GÖINGE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46234</v>
      </c>
      <c r="F419" t="inlineStr">
        <is>
          <t>SKÅNE LÄN</t>
        </is>
      </c>
      <c r="G419" t="inlineStr">
        <is>
          <t>ÖSTRA GÖINGE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37592-2024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46234</v>
      </c>
      <c r="F420" t="inlineStr">
        <is>
          <t>SKÅNE LÄN</t>
        </is>
      </c>
      <c r="G420" t="inlineStr">
        <is>
          <t>ÖSTRA GÖINGE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46234</v>
      </c>
      <c r="F421" t="inlineStr">
        <is>
          <t>SKÅNE LÄN</t>
        </is>
      </c>
      <c r="G421" t="inlineStr">
        <is>
          <t>ÖSTRA GÖINGE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45138</v>
      </c>
      <c r="E422" s="1" t="n">
        <v>46234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46234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46234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45765</v>
      </c>
      <c r="E425" s="1" t="n">
        <v>46234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44585</v>
      </c>
      <c r="E426" s="1" t="n">
        <v>46234</v>
      </c>
      <c r="F426" t="inlineStr">
        <is>
          <t>SKÅNE LÄN</t>
        </is>
      </c>
      <c r="G426" t="inlineStr">
        <is>
          <t>ÖSTRA GÖINGE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46234</v>
      </c>
      <c r="F427" t="inlineStr">
        <is>
          <t>SKÅNE LÄN</t>
        </is>
      </c>
      <c r="G427" t="inlineStr">
        <is>
          <t>ÖSTRA GÖINGE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46234</v>
      </c>
      <c r="F428" t="inlineStr">
        <is>
          <t>SKÅNE LÄN</t>
        </is>
      </c>
      <c r="G428" t="inlineStr">
        <is>
          <t>ÖSTRA GÖINGE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23454-2023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45076</v>
      </c>
      <c r="E429" s="1" t="n">
        <v>46234</v>
      </c>
      <c r="F429" t="inlineStr">
        <is>
          <t>SKÅNE LÄN</t>
        </is>
      </c>
      <c r="G429" t="inlineStr">
        <is>
          <t>ÖSTRA GÖINGE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46234</v>
      </c>
      <c r="F430" t="inlineStr">
        <is>
          <t>SKÅNE LÄN</t>
        </is>
      </c>
      <c r="G430" t="inlineStr">
        <is>
          <t>ÖSTRA GÖINGE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46234</v>
      </c>
      <c r="F431" t="inlineStr">
        <is>
          <t>SKÅNE LÄN</t>
        </is>
      </c>
      <c r="G431" t="inlineStr">
        <is>
          <t>ÖSTRA GÖINGE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46234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46234</v>
      </c>
      <c r="F433" t="inlineStr">
        <is>
          <t>SKÅNE LÄN</t>
        </is>
      </c>
      <c r="G433" t="inlineStr">
        <is>
          <t>ÖSTRA GÖINGE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46234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46234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46234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44764-2021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44438</v>
      </c>
      <c r="E437" s="1" t="n">
        <v>46234</v>
      </c>
      <c r="F437" t="inlineStr">
        <is>
          <t>SKÅNE LÄN</t>
        </is>
      </c>
      <c r="G437" t="inlineStr">
        <is>
          <t>ÖSTRA GÖINGE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46234</v>
      </c>
      <c r="F438" t="inlineStr">
        <is>
          <t>SKÅNE LÄN</t>
        </is>
      </c>
      <c r="G438" t="inlineStr">
        <is>
          <t>ÖSTRA GÖINGE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46234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46234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46234</v>
      </c>
      <c r="F441" t="inlineStr">
        <is>
          <t>SKÅNE LÄN</t>
        </is>
      </c>
      <c r="G441" t="inlineStr">
        <is>
          <t>ÖSTRA GÖINGE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46182</v>
      </c>
      <c r="E442" s="1" t="n">
        <v>46234</v>
      </c>
      <c r="F442" t="inlineStr">
        <is>
          <t>SKÅNE LÄN</t>
        </is>
      </c>
      <c r="G442" t="inlineStr">
        <is>
          <t>ÖSTRA GÖINGE</t>
        </is>
      </c>
      <c r="I442" t="n">
        <v>34.5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46234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46234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46234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46234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46234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46234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46234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46234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46234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46234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46234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46234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46234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46234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46234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46234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46234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46234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46234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46234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46234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46234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46234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46234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46234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46234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46234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46234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46234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46234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46234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46234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46234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46234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46234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46234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46234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46234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46234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46234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46234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46234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46234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46234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46234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2026-07-31T01:53:11Z</dcterms:created>
  <dcterms:modified xmlns:dcterms="http://purl.org/dc/terms/" xmlns:xsi="http://www.w3.org/2001/XMLSchema-instance" xsi:type="dcterms:W3CDTF">2026-07-31T01:53:11Z</dcterms:modified>
</cp:coreProperties>
</file>