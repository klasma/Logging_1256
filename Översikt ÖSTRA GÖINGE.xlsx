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46269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46269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46269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46269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46269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46269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46269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46269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46269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46269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46269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46269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46269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46269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46269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46269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46269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46269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46269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365-2023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44929</v>
      </c>
      <c r="E21" s="1" t="n">
        <v>46269</v>
      </c>
      <c r="F21" t="inlineStr">
        <is>
          <t>SKÅNE LÄN</t>
        </is>
      </c>
      <c r="G21" t="inlineStr">
        <is>
          <t>ÖSTRA GÖINGE</t>
        </is>
      </c>
      <c r="I21" t="n">
        <v>2.9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Grönsångare
Svartvit flugsnappare</t>
        </is>
      </c>
      <c r="W21">
        <f>HYPERLINK("https://klasma.github.io/Logging_1256/artfynd/A 365-2023 artfynd.xlsx", "A 365-2023")</f>
        <v/>
      </c>
      <c r="X21">
        <f>HYPERLINK("https://klasma.github.io/Logging_1256/kartor/A 365-2023 karta.png", "A 365-2023")</f>
        <v/>
      </c>
      <c r="Y21">
        <f>HYPERLINK("https://klasma.github.io/Logging_1256/kartor_geotiff/A 365-2023 georefererad karta.tif", "A 365-2023")</f>
        <v/>
      </c>
      <c r="AA21">
        <f>HYPERLINK("https://klasma.github.io/Logging_1256/klagomål/A 365-2023 FSC-klagomål.docx", "A 365-2023")</f>
        <v/>
      </c>
      <c r="AB21">
        <f>HYPERLINK("https://klasma.github.io/Logging_1256/klagomålsmail/A 365-2023 FSC-klagomål mail.docx", "A 365-2023")</f>
        <v/>
      </c>
      <c r="AC21">
        <f>HYPERLINK("https://klasma.github.io/Logging_1256/tillsyn/A 365-2023 tillsynsbegäran.docx", "A 365-2023")</f>
        <v/>
      </c>
      <c r="AD21">
        <f>HYPERLINK("https://klasma.github.io/Logging_1256/tillsynsmail/A 365-2023 tillsynsbegäran mail.docx", "A 365-2023")</f>
        <v/>
      </c>
      <c r="AE21">
        <f>HYPERLINK("https://klasma.github.io/Logging_1256/fåglar/A 365-2023 prioriterade fågelarter.docx", "A 365-2023")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46269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6314-2023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46269</v>
      </c>
      <c r="F23" t="inlineStr">
        <is>
          <t>SKÅNE LÄN</t>
        </is>
      </c>
      <c r="G23" t="inlineStr">
        <is>
          <t>ÖSTRA GÖINGE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Skogsduva
Svartvit flugsnappare</t>
        </is>
      </c>
      <c r="W23">
        <f>HYPERLINK("https://klasma.github.io/Logging_1256/artfynd/A 6314-2023 artfynd.xlsx", "A 6314-2023")</f>
        <v/>
      </c>
      <c r="X23">
        <f>HYPERLINK("https://klasma.github.io/Logging_1256/kartor/A 6314-2023 karta.png", "A 6314-2023")</f>
        <v/>
      </c>
      <c r="Y23">
        <f>HYPERLINK("https://klasma.github.io/Logging_1256/kartor_geotiff/A 6314-2023 georefererad karta.tif", "A 6314-2023")</f>
        <v/>
      </c>
      <c r="AA23">
        <f>HYPERLINK("https://klasma.github.io/Logging_1256/klagomål/A 6314-2023 FSC-klagomål.docx", "A 6314-2023")</f>
        <v/>
      </c>
      <c r="AB23">
        <f>HYPERLINK("https://klasma.github.io/Logging_1256/klagomålsmail/A 6314-2023 FSC-klagomål mail.docx", "A 6314-2023")</f>
        <v/>
      </c>
      <c r="AC23">
        <f>HYPERLINK("https://klasma.github.io/Logging_1256/tillsyn/A 6314-2023 tillsynsbegäran.docx", "A 6314-2023")</f>
        <v/>
      </c>
      <c r="AD23">
        <f>HYPERLINK("https://klasma.github.io/Logging_1256/tillsynsmail/A 6314-2023 tillsynsbegäran mail.docx", "A 6314-2023")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46269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44788-2025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45918</v>
      </c>
      <c r="E25" s="1" t="n">
        <v>46269</v>
      </c>
      <c r="F25" t="inlineStr">
        <is>
          <t>SKÅNE LÄN</t>
        </is>
      </c>
      <c r="G25" t="inlineStr">
        <is>
          <t>ÖSTRA GÖINGE</t>
        </is>
      </c>
      <c r="I25" t="n">
        <v>1.1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Grönsångare
Havstulpanlav</t>
        </is>
      </c>
      <c r="W25">
        <f>HYPERLINK("https://klasma.github.io/Logging_1256/artfynd/A 44788-2025 artfynd.xlsx", "A 44788-2025")</f>
        <v/>
      </c>
      <c r="X25">
        <f>HYPERLINK("https://klasma.github.io/Logging_1256/kartor/A 44788-2025 karta.png", "A 44788-2025")</f>
        <v/>
      </c>
      <c r="Y25">
        <f>HYPERLINK("https://klasma.github.io/Logging_1256/kartor_geotiff/A 44788-2025 georefererad karta.tif", "A 44788-2025")</f>
        <v/>
      </c>
      <c r="AA25">
        <f>HYPERLINK("https://klasma.github.io/Logging_1256/klagomål/A 44788-2025 FSC-klagomål.docx", "A 44788-2025")</f>
        <v/>
      </c>
      <c r="AB25">
        <f>HYPERLINK("https://klasma.github.io/Logging_1256/klagomålsmail/A 44788-2025 FSC-klagomål mail.docx", "A 44788-2025")</f>
        <v/>
      </c>
      <c r="AC25">
        <f>HYPERLINK("https://klasma.github.io/Logging_1256/tillsyn/A 44788-2025 tillsynsbegäran.docx", "A 44788-2025")</f>
        <v/>
      </c>
      <c r="AD25">
        <f>HYPERLINK("https://klasma.github.io/Logging_1256/tillsynsmail/A 44788-2025 tillsynsbegäran mail.docx", "A 44788-2025")</f>
        <v/>
      </c>
      <c r="AE25">
        <f>HYPERLINK("https://klasma.github.io/Logging_1256/fåglar/A 44788-2025 prioriterade fågelarter.docx", "A 44788-2025")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46269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46269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46269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46269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46269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46269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46269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46269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46269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46269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46269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26509-2025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45807</v>
      </c>
      <c r="E38" s="1" t="n">
        <v>46269</v>
      </c>
      <c r="F38" t="inlineStr">
        <is>
          <t>SKÅNE LÄN</t>
        </is>
      </c>
      <c r="G38" t="inlineStr">
        <is>
          <t>ÖSTRA GÖINGE</t>
        </is>
      </c>
      <c r="I38" t="n">
        <v>0.4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Tibast</t>
        </is>
      </c>
      <c r="W38">
        <f>HYPERLINK("https://klasma.github.io/Logging_1256/artfynd/A 26509-2025 artfynd.xlsx", "A 26509-2025")</f>
        <v/>
      </c>
      <c r="X38">
        <f>HYPERLINK("https://klasma.github.io/Logging_1256/kartor/A 26509-2025 karta.png", "A 26509-2025")</f>
        <v/>
      </c>
      <c r="Y38">
        <f>HYPERLINK("https://klasma.github.io/Logging_1256/kartor_geotiff/A 26509-2025 georefererad karta.tif", "A 26509-2025")</f>
        <v/>
      </c>
      <c r="AA38">
        <f>HYPERLINK("https://klasma.github.io/Logging_1256/klagomål/A 26509-2025 FSC-klagomål.docx", "A 26509-2025")</f>
        <v/>
      </c>
      <c r="AB38">
        <f>HYPERLINK("https://klasma.github.io/Logging_1256/klagomålsmail/A 26509-2025 FSC-klagomål mail.docx", "A 26509-2025")</f>
        <v/>
      </c>
      <c r="AC38">
        <f>HYPERLINK("https://klasma.github.io/Logging_1256/tillsyn/A 26509-2025 tillsynsbegäran.docx", "A 26509-2025")</f>
        <v/>
      </c>
      <c r="AD38">
        <f>HYPERLINK("https://klasma.github.io/Logging_1256/tillsynsmail/A 26509-2025 tillsynsbegäran mail.docx", "A 26509-2025")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46269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34344-2025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45846</v>
      </c>
      <c r="E40" s="1" t="n">
        <v>46269</v>
      </c>
      <c r="F40" t="inlineStr">
        <is>
          <t>SKÅNE LÄN</t>
        </is>
      </c>
      <c r="G40" t="inlineStr">
        <is>
          <t>ÖSTRA GÖINGE</t>
        </is>
      </c>
      <c r="I40" t="n">
        <v>1.5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Huggorm</t>
        </is>
      </c>
      <c r="W40">
        <f>HYPERLINK("https://klasma.github.io/Logging_1256/artfynd/A 34344-2025 artfynd.xlsx", "A 34344-2025")</f>
        <v/>
      </c>
      <c r="X40">
        <f>HYPERLINK("https://klasma.github.io/Logging_1256/kartor/A 34344-2025 karta.png", "A 34344-2025")</f>
        <v/>
      </c>
      <c r="Y40">
        <f>HYPERLINK("https://klasma.github.io/Logging_1256/kartor_geotiff/A 34344-2025 georefererad karta.tif", "A 34344-2025")</f>
        <v/>
      </c>
      <c r="AA40">
        <f>HYPERLINK("https://klasma.github.io/Logging_1256/klagomål/A 34344-2025 FSC-klagomål.docx", "A 34344-2025")</f>
        <v/>
      </c>
      <c r="AB40">
        <f>HYPERLINK("https://klasma.github.io/Logging_1256/klagomålsmail/A 34344-2025 FSC-klagomål mail.docx", "A 34344-2025")</f>
        <v/>
      </c>
      <c r="AC40">
        <f>HYPERLINK("https://klasma.github.io/Logging_1256/tillsyn/A 34344-2025 tillsynsbegäran.docx", "A 34344-2025")</f>
        <v/>
      </c>
      <c r="AD40">
        <f>HYPERLINK("https://klasma.github.io/Logging_1256/tillsynsmail/A 34344-2025 tillsynsbegäran mail.docx", "A 34344-2025")</f>
        <v/>
      </c>
    </row>
    <row r="41" ht="15" customHeight="1">
      <c r="A41" t="inlineStr">
        <is>
          <t>A 9769-2024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46269</v>
      </c>
      <c r="F41" t="inlineStr">
        <is>
          <t>SKÅNE LÄN</t>
        </is>
      </c>
      <c r="G41" t="inlineStr">
        <is>
          <t>ÖSTRA GÖINGE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9769-2024 artfynd.xlsx", "A 9769-2024")</f>
        <v/>
      </c>
      <c r="X41">
        <f>HYPERLINK("https://klasma.github.io/Logging_1256/kartor/A 9769-2024 karta.png", "A 9769-2024")</f>
        <v/>
      </c>
      <c r="Y41">
        <f>HYPERLINK("https://klasma.github.io/Logging_1256/kartor_geotiff/A 9769-2024 georefererad karta.tif", "A 9769-2024")</f>
        <v/>
      </c>
      <c r="AA41">
        <f>HYPERLINK("https://klasma.github.io/Logging_1256/klagomål/A 9769-2024 FSC-klagomål.docx", "A 9769-2024")</f>
        <v/>
      </c>
      <c r="AB41">
        <f>HYPERLINK("https://klasma.github.io/Logging_1256/klagomålsmail/A 9769-2024 FSC-klagomål mail.docx", "A 9769-2024")</f>
        <v/>
      </c>
      <c r="AC41">
        <f>HYPERLINK("https://klasma.github.io/Logging_1256/tillsyn/A 9769-2024 tillsynsbegäran.docx", "A 9769-2024")</f>
        <v/>
      </c>
      <c r="AD41">
        <f>HYPERLINK("https://klasma.github.io/Logging_1256/tillsynsmail/A 9769-2024 tillsynsbegäran mail.docx", "A 9769-2024")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46269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46269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46269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29273-2023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45105</v>
      </c>
      <c r="E45" s="1" t="n">
        <v>46269</v>
      </c>
      <c r="F45" t="inlineStr">
        <is>
          <t>SKÅNE LÄN</t>
        </is>
      </c>
      <c r="G45" t="inlineStr">
        <is>
          <t>ÖSTRA GÖINGE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Nötkråka</t>
        </is>
      </c>
      <c r="W45">
        <f>HYPERLINK("https://klasma.github.io/Logging_1256/artfynd/A 29273-2023 artfynd.xlsx", "A 29273-2023")</f>
        <v/>
      </c>
      <c r="X45">
        <f>HYPERLINK("https://klasma.github.io/Logging_1256/kartor/A 29273-2023 karta.png", "A 29273-2023")</f>
        <v/>
      </c>
      <c r="Y45">
        <f>HYPERLINK("https://klasma.github.io/Logging_1256/kartor_geotiff/A 29273-2023 georefererad karta.tif", "A 29273-2023")</f>
        <v/>
      </c>
      <c r="AA45">
        <f>HYPERLINK("https://klasma.github.io/Logging_1256/klagomål/A 29273-2023 FSC-klagomål.docx", "A 29273-2023")</f>
        <v/>
      </c>
      <c r="AB45">
        <f>HYPERLINK("https://klasma.github.io/Logging_1256/klagomålsmail/A 29273-2023 FSC-klagomål mail.docx", "A 29273-2023")</f>
        <v/>
      </c>
      <c r="AC45">
        <f>HYPERLINK("https://klasma.github.io/Logging_1256/tillsyn/A 29273-2023 tillsynsbegäran.docx", "A 29273-2023")</f>
        <v/>
      </c>
      <c r="AD45">
        <f>HYPERLINK("https://klasma.github.io/Logging_1256/tillsynsmail/A 29273-2023 tillsynsbegäran mail.docx", "A 29273-2023")</f>
        <v/>
      </c>
      <c r="AE45">
        <f>HYPERLINK("https://klasma.github.io/Logging_1256/fåglar/A 29273-2023 prioriterade fågelarter.docx", "A 29273-2023")</f>
        <v/>
      </c>
    </row>
    <row r="46" ht="15" customHeight="1">
      <c r="A46" t="inlineStr">
        <is>
          <t>A 4386-2024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46269</v>
      </c>
      <c r="F46" t="inlineStr">
        <is>
          <t>SKÅNE LÄN</t>
        </is>
      </c>
      <c r="G46" t="inlineStr">
        <is>
          <t>ÖSTRA GÖINGE</t>
        </is>
      </c>
      <c r="I46" t="n">
        <v>1.8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4386-2024 artfynd.xlsx", "A 4386-2024")</f>
        <v/>
      </c>
      <c r="X46">
        <f>HYPERLINK("https://klasma.github.io/Logging_1256/kartor/A 4386-2024 karta.png", "A 4386-2024")</f>
        <v/>
      </c>
      <c r="Y46">
        <f>HYPERLINK("https://klasma.github.io/Logging_1256/kartor_geotiff/A 4386-2024 georefererad karta.tif", "A 4386-2024")</f>
        <v/>
      </c>
      <c r="AA46">
        <f>HYPERLINK("https://klasma.github.io/Logging_1256/klagomål/A 4386-2024 FSC-klagomål.docx", "A 4386-2024")</f>
        <v/>
      </c>
      <c r="AB46">
        <f>HYPERLINK("https://klasma.github.io/Logging_1256/klagomålsmail/A 4386-2024 FSC-klagomål mail.docx", "A 4386-2024")</f>
        <v/>
      </c>
      <c r="AC46">
        <f>HYPERLINK("https://klasma.github.io/Logging_1256/tillsyn/A 4386-2024 tillsynsbegäran.docx", "A 4386-2024")</f>
        <v/>
      </c>
      <c r="AD46">
        <f>HYPERLINK("https://klasma.github.io/Logging_1256/tillsynsmail/A 4386-2024 tillsynsbegäran mail.docx", "A 4386-2024")</f>
        <v/>
      </c>
    </row>
    <row r="47" ht="15" customHeight="1">
      <c r="A47" t="inlineStr">
        <is>
          <t>A 38965-2025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46269</v>
      </c>
      <c r="F47" t="inlineStr">
        <is>
          <t>SKÅNE LÄN</t>
        </is>
      </c>
      <c r="G47" t="inlineStr">
        <is>
          <t>ÖSTRA GÖINGE</t>
        </is>
      </c>
      <c r="I47" t="n">
        <v>2.5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Gullklöver</t>
        </is>
      </c>
      <c r="W47">
        <f>HYPERLINK("https://klasma.github.io/Logging_1256/artfynd/A 38965-2025 artfynd.xlsx", "A 38965-2025")</f>
        <v/>
      </c>
      <c r="X47">
        <f>HYPERLINK("https://klasma.github.io/Logging_1256/kartor/A 38965-2025 karta.png", "A 38965-2025")</f>
        <v/>
      </c>
      <c r="Y47">
        <f>HYPERLINK("https://klasma.github.io/Logging_1256/kartor_geotiff/A 38965-2025 georefererad karta.tif", "A 38965-2025")</f>
        <v/>
      </c>
      <c r="AA47">
        <f>HYPERLINK("https://klasma.github.io/Logging_1256/klagomål/A 38965-2025 FSC-klagomål.docx", "A 38965-2025")</f>
        <v/>
      </c>
      <c r="AB47">
        <f>HYPERLINK("https://klasma.github.io/Logging_1256/klagomålsmail/A 38965-2025 FSC-klagomål mail.docx", "A 38965-2025")</f>
        <v/>
      </c>
      <c r="AC47">
        <f>HYPERLINK("https://klasma.github.io/Logging_1256/tillsyn/A 38965-2025 tillsynsbegäran.docx", "A 38965-2025")</f>
        <v/>
      </c>
      <c r="AD47">
        <f>HYPERLINK("https://klasma.github.io/Logging_1256/tillsynsmail/A 38965-2025 tillsynsbegäran mail.docx", "A 38965-2025")</f>
        <v/>
      </c>
    </row>
    <row r="48" ht="15" customHeight="1">
      <c r="A48" t="inlineStr">
        <is>
          <t>A 2695-2022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46269</v>
      </c>
      <c r="F48" t="inlineStr">
        <is>
          <t>SKÅNE LÄN</t>
        </is>
      </c>
      <c r="G48" t="inlineStr">
        <is>
          <t>ÖSTRA GÖINGE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Grönsångare</t>
        </is>
      </c>
      <c r="W48">
        <f>HYPERLINK("https://klasma.github.io/Logging_1256/artfynd/A 2695-2022 artfynd.xlsx", "A 2695-2022")</f>
        <v/>
      </c>
      <c r="X48">
        <f>HYPERLINK("https://klasma.github.io/Logging_1256/kartor/A 2695-2022 karta.png", "A 2695-2022")</f>
        <v/>
      </c>
      <c r="Y48">
        <f>HYPERLINK("https://klasma.github.io/Logging_1256/kartor_geotiff/A 2695-2022 georefererad karta.tif", "A 2695-2022")</f>
        <v/>
      </c>
      <c r="AA48">
        <f>HYPERLINK("https://klasma.github.io/Logging_1256/klagomål/A 2695-2022 FSC-klagomål.docx", "A 2695-2022")</f>
        <v/>
      </c>
      <c r="AB48">
        <f>HYPERLINK("https://klasma.github.io/Logging_1256/klagomålsmail/A 2695-2022 FSC-klagomål mail.docx", "A 2695-2022")</f>
        <v/>
      </c>
      <c r="AC48">
        <f>HYPERLINK("https://klasma.github.io/Logging_1256/tillsyn/A 2695-2022 tillsynsbegäran.docx", "A 2695-2022")</f>
        <v/>
      </c>
      <c r="AD48">
        <f>HYPERLINK("https://klasma.github.io/Logging_1256/tillsynsmail/A 2695-2022 tillsynsbegäran mail.docx", "A 2695-2022")</f>
        <v/>
      </c>
      <c r="AE48">
        <f>HYPERLINK("https://klasma.github.io/Logging_1256/fåglar/A 2695-2022 prioriterade fågelarter.docx", "A 2695-2022")</f>
        <v/>
      </c>
    </row>
    <row r="49" ht="15" customHeight="1">
      <c r="A49" t="inlineStr">
        <is>
          <t>A 6152-2024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46269</v>
      </c>
      <c r="F49" t="inlineStr">
        <is>
          <t>SKÅNE LÄN</t>
        </is>
      </c>
      <c r="G49" t="inlineStr">
        <is>
          <t>ÖSTRA GÖINGE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HYPERLINK("https://klasma.github.io/Logging_1256/artfynd/A 6152-2024 artfynd.xlsx", "A 6152-2024")</f>
        <v/>
      </c>
      <c r="X49">
        <f>HYPERLINK("https://klasma.github.io/Logging_1256/kartor/A 6152-2024 karta.png", "A 6152-2024")</f>
        <v/>
      </c>
      <c r="Y49">
        <f>HYPERLINK("https://klasma.github.io/Logging_1256/kartor_geotiff/A 6152-2024 georefererad karta.tif", "A 6152-2024")</f>
        <v/>
      </c>
      <c r="AA49">
        <f>HYPERLINK("https://klasma.github.io/Logging_1256/klagomål/A 6152-2024 FSC-klagomål.docx", "A 6152-2024")</f>
        <v/>
      </c>
      <c r="AB49">
        <f>HYPERLINK("https://klasma.github.io/Logging_1256/klagomålsmail/A 6152-2024 FSC-klagomål mail.docx", "A 6152-2024")</f>
        <v/>
      </c>
      <c r="AC49">
        <f>HYPERLINK("https://klasma.github.io/Logging_1256/tillsyn/A 6152-2024 tillsynsbegäran.docx", "A 6152-2024")</f>
        <v/>
      </c>
      <c r="AD49">
        <f>HYPERLINK("https://klasma.github.io/Logging_1256/tillsynsmail/A 6152-2024 tillsynsbegäran mail.docx", "A 6152-2024")</f>
        <v/>
      </c>
    </row>
    <row r="50" ht="15" customHeight="1">
      <c r="A50" t="inlineStr">
        <is>
          <t>A 35526-2025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46269</v>
      </c>
      <c r="F50" t="inlineStr">
        <is>
          <t>SKÅNE LÄN</t>
        </is>
      </c>
      <c r="G50" t="inlineStr">
        <is>
          <t>ÖSTRA GÖINGE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Bokvårtlav</t>
        </is>
      </c>
      <c r="W50">
        <f>HYPERLINK("https://klasma.github.io/Logging_1256/artfynd/A 35526-2025 artfynd.xlsx", "A 35526-2025")</f>
        <v/>
      </c>
      <c r="X50">
        <f>HYPERLINK("https://klasma.github.io/Logging_1256/kartor/A 35526-2025 karta.png", "A 35526-2025")</f>
        <v/>
      </c>
      <c r="Y50">
        <f>HYPERLINK("https://klasma.github.io/Logging_1256/kartor_geotiff/A 35526-2025 georefererad karta.tif", "A 35526-2025")</f>
        <v/>
      </c>
      <c r="AA50">
        <f>HYPERLINK("https://klasma.github.io/Logging_1256/klagomål/A 35526-2025 FSC-klagomål.docx", "A 35526-2025")</f>
        <v/>
      </c>
      <c r="AB50">
        <f>HYPERLINK("https://klasma.github.io/Logging_1256/klagomålsmail/A 35526-2025 FSC-klagomål mail.docx", "A 35526-2025")</f>
        <v/>
      </c>
      <c r="AC50">
        <f>HYPERLINK("https://klasma.github.io/Logging_1256/tillsyn/A 35526-2025 tillsynsbegäran.docx", "A 35526-2025")</f>
        <v/>
      </c>
      <c r="AD50">
        <f>HYPERLINK("https://klasma.github.io/Logging_1256/tillsynsmail/A 35526-2025 tillsynsbegäran mail.docx", "A 35526-2025")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46269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46269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46269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46269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4383-2024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45327</v>
      </c>
      <c r="E55" s="1" t="n">
        <v>46269</v>
      </c>
      <c r="F55" t="inlineStr">
        <is>
          <t>SKÅNE LÄN</t>
        </is>
      </c>
      <c r="G55" t="inlineStr">
        <is>
          <t>ÖSTRA GÖINGE</t>
        </is>
      </c>
      <c r="I55" t="n">
        <v>2.2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Igelkott</t>
        </is>
      </c>
      <c r="W55">
        <f>HYPERLINK("https://klasma.github.io/Logging_1256/artfynd/A 4383-2024 artfynd.xlsx", "A 4383-2024")</f>
        <v/>
      </c>
      <c r="X55">
        <f>HYPERLINK("https://klasma.github.io/Logging_1256/kartor/A 4383-2024 karta.png", "A 4383-2024")</f>
        <v/>
      </c>
      <c r="Y55">
        <f>HYPERLINK("https://klasma.github.io/Logging_1256/kartor_geotiff/A 4383-2024 georefererad karta.tif", "A 4383-2024")</f>
        <v/>
      </c>
      <c r="AA55">
        <f>HYPERLINK("https://klasma.github.io/Logging_1256/klagomål/A 4383-2024 FSC-klagomål.docx", "A 4383-2024")</f>
        <v/>
      </c>
      <c r="AB55">
        <f>HYPERLINK("https://klasma.github.io/Logging_1256/klagomålsmail/A 4383-2024 FSC-klagomål mail.docx", "A 4383-2024")</f>
        <v/>
      </c>
      <c r="AC55">
        <f>HYPERLINK("https://klasma.github.io/Logging_1256/tillsyn/A 4383-2024 tillsynsbegäran.docx", "A 4383-2024")</f>
        <v/>
      </c>
      <c r="AD55">
        <f>HYPERLINK("https://klasma.github.io/Logging_1256/tillsynsmail/A 4383-2024 tillsynsbegäran mail.docx", "A 4383-2024")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46269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Slåttergubbe</t>
        </is>
      </c>
      <c r="W56">
        <f>HYPERLINK("https://klasma.github.io/Logging_1256/artfynd/A 5468-2024 artfynd.xlsx", "A 5468-2024")</f>
        <v/>
      </c>
      <c r="X56">
        <f>HYPERLINK("https://klasma.github.io/Logging_1256/kartor/A 5468-2024 karta.png", "A 5468-2024")</f>
        <v/>
      </c>
      <c r="Y56">
        <f>HYPERLINK("https://klasma.github.io/Logging_1256/kartor_geotiff/A 5468-2024 georefererad karta.tif", "A 5468-2024")</f>
        <v/>
      </c>
      <c r="AA56">
        <f>HYPERLINK("https://klasma.github.io/Logging_1256/klagomål/A 5468-2024 FSC-klagomål.docx", "A 5468-2024")</f>
        <v/>
      </c>
      <c r="AB56">
        <f>HYPERLINK("https://klasma.github.io/Logging_1256/klagomålsmail/A 5468-2024 FSC-klagomål mail.docx", "A 5468-2024")</f>
        <v/>
      </c>
      <c r="AC56">
        <f>HYPERLINK("https://klasma.github.io/Logging_1256/tillsyn/A 5468-2024 tillsynsbegäran.docx", "A 5468-2024")</f>
        <v/>
      </c>
      <c r="AD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46269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46269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46269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46269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46269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46269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46269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46269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46269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46269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46269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46269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46269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46269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46269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46269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46269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46269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46269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46269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46269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46269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46269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46269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46269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46269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46269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55495-2022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44887</v>
      </c>
      <c r="E85" s="1" t="n">
        <v>46269</v>
      </c>
      <c r="F85" t="inlineStr">
        <is>
          <t>SKÅNE LÄN</t>
        </is>
      </c>
      <c r="G85" t="inlineStr">
        <is>
          <t>ÖSTRA GÖINGE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46269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46269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44463</v>
      </c>
      <c r="E88" s="1" t="n">
        <v>46269</v>
      </c>
      <c r="F88" t="inlineStr">
        <is>
          <t>SKÅNE LÄN</t>
        </is>
      </c>
      <c r="G88" t="inlineStr">
        <is>
          <t>ÖSTRA GÖINGE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46269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72746-2021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44546</v>
      </c>
      <c r="E90" s="1" t="n">
        <v>46269</v>
      </c>
      <c r="F90" t="inlineStr">
        <is>
          <t>SKÅNE LÄN</t>
        </is>
      </c>
      <c r="G90" t="inlineStr">
        <is>
          <t>ÖSTRA GÖINGE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46269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46269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44627</v>
      </c>
      <c r="E93" s="1" t="n">
        <v>46269</v>
      </c>
      <c r="F93" t="inlineStr">
        <is>
          <t>SKÅNE LÄN</t>
        </is>
      </c>
      <c r="G93" t="inlineStr">
        <is>
          <t>ÖSTRA GÖINGE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46269</v>
      </c>
      <c r="F94" t="inlineStr">
        <is>
          <t>SKÅNE LÄN</t>
        </is>
      </c>
      <c r="G94" t="inlineStr">
        <is>
          <t>ÖSTRA GÖINGE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44480</v>
      </c>
      <c r="E95" s="1" t="n">
        <v>46269</v>
      </c>
      <c r="F95" t="inlineStr">
        <is>
          <t>SKÅNE LÄN</t>
        </is>
      </c>
      <c r="G95" t="inlineStr">
        <is>
          <t>ÖSTRA GÖINGE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46269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46269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44578</v>
      </c>
      <c r="E98" s="1" t="n">
        <v>46269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46269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46269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1953-2023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44937</v>
      </c>
      <c r="E101" s="1" t="n">
        <v>46269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44897</v>
      </c>
      <c r="E102" s="1" t="n">
        <v>46269</v>
      </c>
      <c r="F102" t="inlineStr">
        <is>
          <t>SKÅNE LÄN</t>
        </is>
      </c>
      <c r="G102" t="inlineStr">
        <is>
          <t>ÖSTRA GÖINGE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46269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44727</v>
      </c>
      <c r="E104" s="1" t="n">
        <v>46269</v>
      </c>
      <c r="F104" t="inlineStr">
        <is>
          <t>SKÅNE LÄN</t>
        </is>
      </c>
      <c r="G104" t="inlineStr">
        <is>
          <t>ÖSTRA GÖINGE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20622-2022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44700</v>
      </c>
      <c r="E105" s="1" t="n">
        <v>46269</v>
      </c>
      <c r="F105" t="inlineStr">
        <is>
          <t>SKÅNE LÄN</t>
        </is>
      </c>
      <c r="G105" t="inlineStr">
        <is>
          <t>ÖSTRA GÖINGE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34931-2023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45142</v>
      </c>
      <c r="E106" s="1" t="n">
        <v>46269</v>
      </c>
      <c r="F106" t="inlineStr">
        <is>
          <t>SKÅNE LÄN</t>
        </is>
      </c>
      <c r="G106" t="inlineStr">
        <is>
          <t>ÖSTRA GÖINGE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44930</v>
      </c>
      <c r="E107" s="1" t="n">
        <v>46269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53070-2023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45227</v>
      </c>
      <c r="E108" s="1" t="n">
        <v>46269</v>
      </c>
      <c r="F108" t="inlineStr">
        <is>
          <t>SKÅNE LÄN</t>
        </is>
      </c>
      <c r="G108" t="inlineStr">
        <is>
          <t>ÖSTRA GÖINGE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16261-2023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45022</v>
      </c>
      <c r="E109" s="1" t="n">
        <v>46269</v>
      </c>
      <c r="F109" t="inlineStr">
        <is>
          <t>SKÅNE LÄN</t>
        </is>
      </c>
      <c r="G109" t="inlineStr">
        <is>
          <t>ÖSTRA GÖINGE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22081-2023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46269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45564</v>
      </c>
      <c r="E111" s="1" t="n">
        <v>46269</v>
      </c>
      <c r="F111" t="inlineStr">
        <is>
          <t>SKÅNE LÄN</t>
        </is>
      </c>
      <c r="G111" t="inlineStr">
        <is>
          <t>ÖSTRA GÖINGE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37784-2022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44810</v>
      </c>
      <c r="E112" s="1" t="n">
        <v>46269</v>
      </c>
      <c r="F112" t="inlineStr">
        <is>
          <t>SKÅNE LÄN</t>
        </is>
      </c>
      <c r="G112" t="inlineStr">
        <is>
          <t>ÖSTRA GÖINGE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45699</v>
      </c>
      <c r="E113" s="1" t="n">
        <v>46269</v>
      </c>
      <c r="F113" t="inlineStr">
        <is>
          <t>SKÅNE LÄN</t>
        </is>
      </c>
      <c r="G113" t="inlineStr">
        <is>
          <t>ÖSTRA GÖINGE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44964</v>
      </c>
      <c r="E114" s="1" t="n">
        <v>46269</v>
      </c>
      <c r="F114" t="inlineStr">
        <is>
          <t>SKÅNE LÄN</t>
        </is>
      </c>
      <c r="G114" t="inlineStr">
        <is>
          <t>ÖSTRA GÖINGE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46269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2366-2024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45310</v>
      </c>
      <c r="E116" s="1" t="n">
        <v>46269</v>
      </c>
      <c r="F116" t="inlineStr">
        <is>
          <t>SKÅNE LÄN</t>
        </is>
      </c>
      <c r="G116" t="inlineStr">
        <is>
          <t>ÖSTRA GÖINGE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44489</v>
      </c>
      <c r="E117" s="1" t="n">
        <v>46269</v>
      </c>
      <c r="F117" t="inlineStr">
        <is>
          <t>SKÅNE LÄN</t>
        </is>
      </c>
      <c r="G117" t="inlineStr">
        <is>
          <t>ÖSTRA GÖINGE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46269</v>
      </c>
      <c r="F118" t="inlineStr">
        <is>
          <t>SKÅNE LÄN</t>
        </is>
      </c>
      <c r="G118" t="inlineStr">
        <is>
          <t>ÖSTRA GÖINGE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36324-2022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44803</v>
      </c>
      <c r="E119" s="1" t="n">
        <v>46269</v>
      </c>
      <c r="F119" t="inlineStr">
        <is>
          <t>SKÅNE LÄN</t>
        </is>
      </c>
      <c r="G119" t="inlineStr">
        <is>
          <t>ÖSTRA GÖINGE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45422</v>
      </c>
      <c r="E120" s="1" t="n">
        <v>46269</v>
      </c>
      <c r="F120" t="inlineStr">
        <is>
          <t>SKÅNE LÄN</t>
        </is>
      </c>
      <c r="G120" t="inlineStr">
        <is>
          <t>ÖSTRA GÖINGE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45638</v>
      </c>
      <c r="E121" s="1" t="n">
        <v>46269</v>
      </c>
      <c r="F121" t="inlineStr">
        <is>
          <t>SKÅNE LÄN</t>
        </is>
      </c>
      <c r="G121" t="inlineStr">
        <is>
          <t>ÖSTRA GÖINGE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45256</v>
      </c>
      <c r="E122" s="1" t="n">
        <v>46269</v>
      </c>
      <c r="F122" t="inlineStr">
        <is>
          <t>SKÅNE LÄN</t>
        </is>
      </c>
      <c r="G122" t="inlineStr">
        <is>
          <t>ÖSTRA GÖINGE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50472-2023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46269</v>
      </c>
      <c r="F123" t="inlineStr">
        <is>
          <t>SKÅNE LÄN</t>
        </is>
      </c>
      <c r="G123" t="inlineStr">
        <is>
          <t>ÖSTRA GÖINGE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46269</v>
      </c>
      <c r="F124" t="inlineStr">
        <is>
          <t>SKÅNE LÄN</t>
        </is>
      </c>
      <c r="G124" t="inlineStr">
        <is>
          <t>ÖSTRA GÖINGE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45622</v>
      </c>
      <c r="E125" s="1" t="n">
        <v>46269</v>
      </c>
      <c r="F125" t="inlineStr">
        <is>
          <t>SKÅNE LÄN</t>
        </is>
      </c>
      <c r="G125" t="inlineStr">
        <is>
          <t>ÖSTRA GÖINGE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20407-2024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45435</v>
      </c>
      <c r="E126" s="1" t="n">
        <v>46269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46269</v>
      </c>
      <c r="F127" t="inlineStr">
        <is>
          <t>SKÅNE LÄN</t>
        </is>
      </c>
      <c r="G127" t="inlineStr">
        <is>
          <t>ÖSTRA GÖINGE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46269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44958</v>
      </c>
      <c r="E129" s="1" t="n">
        <v>46269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44958</v>
      </c>
      <c r="E130" s="1" t="n">
        <v>46269</v>
      </c>
      <c r="F130" t="inlineStr">
        <is>
          <t>SKÅNE LÄN</t>
        </is>
      </c>
      <c r="G130" t="inlineStr">
        <is>
          <t>ÖSTRA GÖINGE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24285-2025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45797</v>
      </c>
      <c r="E131" s="1" t="n">
        <v>46269</v>
      </c>
      <c r="F131" t="inlineStr">
        <is>
          <t>SKÅNE LÄN</t>
        </is>
      </c>
      <c r="G131" t="inlineStr">
        <is>
          <t>ÖSTRA GÖINGE</t>
        </is>
      </c>
      <c r="H131" t="inlineStr">
        <is>
          <t>Sveaskog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46269</v>
      </c>
      <c r="F132" t="inlineStr">
        <is>
          <t>SKÅNE LÄN</t>
        </is>
      </c>
      <c r="G132" t="inlineStr">
        <is>
          <t>ÖSTRA GÖINGE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23396-2023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45076</v>
      </c>
      <c r="E133" s="1" t="n">
        <v>46269</v>
      </c>
      <c r="F133" t="inlineStr">
        <is>
          <t>SKÅNE LÄN</t>
        </is>
      </c>
      <c r="G133" t="inlineStr">
        <is>
          <t>ÖSTRA GÖINGE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48952-2022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44859</v>
      </c>
      <c r="E134" s="1" t="n">
        <v>46269</v>
      </c>
      <c r="F134" t="inlineStr">
        <is>
          <t>SKÅNE LÄN</t>
        </is>
      </c>
      <c r="G134" t="inlineStr">
        <is>
          <t>ÖSTRA GÖINGE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45410</v>
      </c>
      <c r="E135" s="1" t="n">
        <v>46269</v>
      </c>
      <c r="F135" t="inlineStr">
        <is>
          <t>SKÅNE LÄN</t>
        </is>
      </c>
      <c r="G135" t="inlineStr">
        <is>
          <t>ÖSTRA GÖINGE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74094-2021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46269</v>
      </c>
      <c r="F136" t="inlineStr">
        <is>
          <t>SKÅNE LÄN</t>
        </is>
      </c>
      <c r="G136" t="inlineStr">
        <is>
          <t>ÖSTRA GÖINGE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46269</v>
      </c>
      <c r="F137" t="inlineStr">
        <is>
          <t>SKÅNE LÄN</t>
        </is>
      </c>
      <c r="G137" t="inlineStr">
        <is>
          <t>ÖSTRA GÖINGE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45601</v>
      </c>
      <c r="E138" s="1" t="n">
        <v>46269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54869-2023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46269</v>
      </c>
      <c r="F139" t="inlineStr">
        <is>
          <t>SKÅNE LÄN</t>
        </is>
      </c>
      <c r="G139" t="inlineStr">
        <is>
          <t>ÖSTRA GÖINGE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46269</v>
      </c>
      <c r="F140" t="inlineStr">
        <is>
          <t>SKÅNE LÄN</t>
        </is>
      </c>
      <c r="G140" t="inlineStr">
        <is>
          <t>ÖSTRA GÖINGE</t>
        </is>
      </c>
      <c r="H140" t="inlineStr">
        <is>
          <t>Sveaskog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57539-2022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44896</v>
      </c>
      <c r="E141" s="1" t="n">
        <v>46269</v>
      </c>
      <c r="F141" t="inlineStr">
        <is>
          <t>SKÅNE LÄN</t>
        </is>
      </c>
      <c r="G141" t="inlineStr">
        <is>
          <t>ÖSTRA GÖINGE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46269</v>
      </c>
      <c r="F142" t="inlineStr">
        <is>
          <t>SKÅNE LÄN</t>
        </is>
      </c>
      <c r="G142" t="inlineStr">
        <is>
          <t>ÖSTRA GÖINGE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34649-2023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45139</v>
      </c>
      <c r="E143" s="1" t="n">
        <v>46269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45674</v>
      </c>
      <c r="E144" s="1" t="n">
        <v>46269</v>
      </c>
      <c r="F144" t="inlineStr">
        <is>
          <t>SKÅNE LÄN</t>
        </is>
      </c>
      <c r="G144" t="inlineStr">
        <is>
          <t>ÖSTRA GÖINGE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46269</v>
      </c>
      <c r="F145" t="inlineStr">
        <is>
          <t>SKÅNE LÄN</t>
        </is>
      </c>
      <c r="G145" t="inlineStr">
        <is>
          <t>ÖSTRA GÖINGE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45727</v>
      </c>
      <c r="E146" s="1" t="n">
        <v>46269</v>
      </c>
      <c r="F146" t="inlineStr">
        <is>
          <t>SKÅNE LÄN</t>
        </is>
      </c>
      <c r="G146" t="inlineStr">
        <is>
          <t>ÖSTRA GÖINGE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45147</v>
      </c>
      <c r="E147" s="1" t="n">
        <v>46269</v>
      </c>
      <c r="F147" t="inlineStr">
        <is>
          <t>SKÅNE LÄN</t>
        </is>
      </c>
      <c r="G147" t="inlineStr">
        <is>
          <t>ÖSTRA GÖINGE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46269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45271</v>
      </c>
      <c r="E149" s="1" t="n">
        <v>46269</v>
      </c>
      <c r="F149" t="inlineStr">
        <is>
          <t>SKÅNE LÄN</t>
        </is>
      </c>
      <c r="G149" t="inlineStr">
        <is>
          <t>ÖSTRA GÖINGE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46269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45147</v>
      </c>
      <c r="E151" s="1" t="n">
        <v>46269</v>
      </c>
      <c r="F151" t="inlineStr">
        <is>
          <t>SKÅNE LÄN</t>
        </is>
      </c>
      <c r="G151" t="inlineStr">
        <is>
          <t>ÖSTRA GÖINGE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42192-2023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45179</v>
      </c>
      <c r="E152" s="1" t="n">
        <v>46269</v>
      </c>
      <c r="F152" t="inlineStr">
        <is>
          <t>SKÅNE LÄN</t>
        </is>
      </c>
      <c r="G152" t="inlineStr">
        <is>
          <t>ÖSTRA GÖINGE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46269</v>
      </c>
      <c r="F153" t="inlineStr">
        <is>
          <t>SKÅNE LÄN</t>
        </is>
      </c>
      <c r="G153" t="inlineStr">
        <is>
          <t>ÖSTRA GÖINGE</t>
        </is>
      </c>
      <c r="I153" t="n">
        <v>15.4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28982-2025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46269</v>
      </c>
      <c r="F154" t="inlineStr">
        <is>
          <t>SKÅNE LÄN</t>
        </is>
      </c>
      <c r="G154" t="inlineStr">
        <is>
          <t>ÖSTRA GÖINGE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69383-2021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46269</v>
      </c>
      <c r="F155" t="inlineStr">
        <is>
          <t>SKÅNE LÄN</t>
        </is>
      </c>
      <c r="G155" t="inlineStr">
        <is>
          <t>ÖSTRA GÖINGE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69390-2021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44531</v>
      </c>
      <c r="E156" s="1" t="n">
        <v>46269</v>
      </c>
      <c r="F156" t="inlineStr">
        <is>
          <t>SKÅNE LÄN</t>
        </is>
      </c>
      <c r="G156" t="inlineStr">
        <is>
          <t>ÖSTRA GÖINGE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29355-2024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45483</v>
      </c>
      <c r="E157" s="1" t="n">
        <v>46269</v>
      </c>
      <c r="F157" t="inlineStr">
        <is>
          <t>SKÅNE LÄN</t>
        </is>
      </c>
      <c r="G157" t="inlineStr">
        <is>
          <t>ÖSTRA GÖINGE</t>
        </is>
      </c>
      <c r="I157" t="n">
        <v>7.7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52930-2021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44467</v>
      </c>
      <c r="E158" s="1" t="n">
        <v>46269</v>
      </c>
      <c r="F158" t="inlineStr">
        <is>
          <t>SKÅNE LÄN</t>
        </is>
      </c>
      <c r="G158" t="inlineStr">
        <is>
          <t>ÖSTRA GÖINGE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45022</v>
      </c>
      <c r="E159" s="1" t="n">
        <v>46269</v>
      </c>
      <c r="F159" t="inlineStr">
        <is>
          <t>SKÅNE LÄN</t>
        </is>
      </c>
      <c r="G159" t="inlineStr">
        <is>
          <t>ÖSTRA GÖINGE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46269</v>
      </c>
      <c r="F160" t="inlineStr">
        <is>
          <t>SKÅNE LÄN</t>
        </is>
      </c>
      <c r="G160" t="inlineStr">
        <is>
          <t>ÖSTRA GÖINGE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46269</v>
      </c>
      <c r="F161" t="inlineStr">
        <is>
          <t>SKÅNE LÄN</t>
        </is>
      </c>
      <c r="G161" t="inlineStr">
        <is>
          <t>ÖSTRA GÖINGE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31847-2025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45834</v>
      </c>
      <c r="E162" s="1" t="n">
        <v>46269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45834</v>
      </c>
      <c r="E163" s="1" t="n">
        <v>46269</v>
      </c>
      <c r="F163" t="inlineStr">
        <is>
          <t>SKÅNE LÄN</t>
        </is>
      </c>
      <c r="G163" t="inlineStr">
        <is>
          <t>ÖSTRA GÖINGE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17856-2025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45758</v>
      </c>
      <c r="E164" s="1" t="n">
        <v>46269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31823-2025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46269</v>
      </c>
      <c r="F165" t="inlineStr">
        <is>
          <t>SKÅNE LÄN</t>
        </is>
      </c>
      <c r="G165" t="inlineStr">
        <is>
          <t>ÖSTRA GÖINGE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45835</v>
      </c>
      <c r="E166" s="1" t="n">
        <v>46269</v>
      </c>
      <c r="F166" t="inlineStr">
        <is>
          <t>SKÅNE LÄN</t>
        </is>
      </c>
      <c r="G166" t="inlineStr">
        <is>
          <t>ÖSTRA GÖINGE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46269</v>
      </c>
      <c r="F167" t="inlineStr">
        <is>
          <t>SKÅNE LÄN</t>
        </is>
      </c>
      <c r="G167" t="inlineStr">
        <is>
          <t>ÖSTRA GÖINGE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9537-2023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44981</v>
      </c>
      <c r="E168" s="1" t="n">
        <v>46269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41548-2022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44826</v>
      </c>
      <c r="E169" s="1" t="n">
        <v>46269</v>
      </c>
      <c r="F169" t="inlineStr">
        <is>
          <t>SKÅNE LÄN</t>
        </is>
      </c>
      <c r="G169" t="inlineStr">
        <is>
          <t>ÖSTRA GÖINGE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46269</v>
      </c>
      <c r="F170" t="inlineStr">
        <is>
          <t>SKÅNE LÄN</t>
        </is>
      </c>
      <c r="G170" t="inlineStr">
        <is>
          <t>ÖSTRA GÖINGE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45278</v>
      </c>
      <c r="E171" s="1" t="n">
        <v>46269</v>
      </c>
      <c r="F171" t="inlineStr">
        <is>
          <t>SKÅNE LÄN</t>
        </is>
      </c>
      <c r="G171" t="inlineStr">
        <is>
          <t>ÖSTRA GÖINGE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46269</v>
      </c>
      <c r="F172" t="inlineStr">
        <is>
          <t>SKÅNE LÄN</t>
        </is>
      </c>
      <c r="G172" t="inlineStr">
        <is>
          <t>ÖSTRA GÖINGE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69375-2021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44531</v>
      </c>
      <c r="E173" s="1" t="n">
        <v>46269</v>
      </c>
      <c r="F173" t="inlineStr">
        <is>
          <t>SKÅNE LÄN</t>
        </is>
      </c>
      <c r="G173" t="inlineStr">
        <is>
          <t>ÖSTRA GÖINGE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69393-2021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46269</v>
      </c>
      <c r="F174" t="inlineStr">
        <is>
          <t>SKÅNE LÄN</t>
        </is>
      </c>
      <c r="G174" t="inlineStr">
        <is>
          <t>ÖSTRA GÖINGE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55933-2023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46269</v>
      </c>
      <c r="F175" t="inlineStr">
        <is>
          <t>SKÅNE LÄN</t>
        </is>
      </c>
      <c r="G175" t="inlineStr">
        <is>
          <t>ÖSTRA GÖINGE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45643</v>
      </c>
      <c r="E176" s="1" t="n">
        <v>46269</v>
      </c>
      <c r="F176" t="inlineStr">
        <is>
          <t>SKÅNE LÄN</t>
        </is>
      </c>
      <c r="G176" t="inlineStr">
        <is>
          <t>ÖSTRA GÖINGE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46269</v>
      </c>
      <c r="F177" t="inlineStr">
        <is>
          <t>SKÅNE LÄN</t>
        </is>
      </c>
      <c r="G177" t="inlineStr">
        <is>
          <t>ÖSTRA GÖINGE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55490-2022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46269</v>
      </c>
      <c r="F178" t="inlineStr">
        <is>
          <t>SKÅNE LÄN</t>
        </is>
      </c>
      <c r="G178" t="inlineStr">
        <is>
          <t>ÖSTRA GÖINGE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44992</v>
      </c>
      <c r="E179" s="1" t="n">
        <v>46269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50896-2021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44460</v>
      </c>
      <c r="E180" s="1" t="n">
        <v>46269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50927-2021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44459</v>
      </c>
      <c r="E181" s="1" t="n">
        <v>46269</v>
      </c>
      <c r="F181" t="inlineStr">
        <is>
          <t>SKÅNE LÄN</t>
        </is>
      </c>
      <c r="G181" t="inlineStr">
        <is>
          <t>ÖSTRA GÖINGE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44929</v>
      </c>
      <c r="E182" s="1" t="n">
        <v>46269</v>
      </c>
      <c r="F182" t="inlineStr">
        <is>
          <t>SKÅNE LÄN</t>
        </is>
      </c>
      <c r="G182" t="inlineStr">
        <is>
          <t>ÖSTRA GÖINGE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55140-2022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46269</v>
      </c>
      <c r="F183" t="inlineStr">
        <is>
          <t>SKÅNE LÄN</t>
        </is>
      </c>
      <c r="G183" t="inlineStr">
        <is>
          <t>ÖSTRA GÖINGE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45530</v>
      </c>
      <c r="E184" s="1" t="n">
        <v>46269</v>
      </c>
      <c r="F184" t="inlineStr">
        <is>
          <t>SKÅNE LÄN</t>
        </is>
      </c>
      <c r="G184" t="inlineStr">
        <is>
          <t>ÖSTRA GÖINGE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34687-2025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45848</v>
      </c>
      <c r="E185" s="1" t="n">
        <v>46269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45667</v>
      </c>
      <c r="E186" s="1" t="n">
        <v>46269</v>
      </c>
      <c r="F186" t="inlineStr">
        <is>
          <t>SKÅNE LÄN</t>
        </is>
      </c>
      <c r="G186" t="inlineStr">
        <is>
          <t>ÖSTRA GÖINGE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45362</v>
      </c>
      <c r="E187" s="1" t="n">
        <v>46269</v>
      </c>
      <c r="F187" t="inlineStr">
        <is>
          <t>SKÅNE LÄN</t>
        </is>
      </c>
      <c r="G187" t="inlineStr">
        <is>
          <t>ÖSTRA GÖINGE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45848</v>
      </c>
      <c r="E188" s="1" t="n">
        <v>46269</v>
      </c>
      <c r="F188" t="inlineStr">
        <is>
          <t>SKÅNE LÄN</t>
        </is>
      </c>
      <c r="G188" t="inlineStr">
        <is>
          <t>ÖSTRA GÖINGE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46269</v>
      </c>
      <c r="F189" t="inlineStr">
        <is>
          <t>SKÅNE LÄN</t>
        </is>
      </c>
      <c r="G189" t="inlineStr">
        <is>
          <t>ÖSTRA GÖINGE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37056-2024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45539</v>
      </c>
      <c r="E190" s="1" t="n">
        <v>46269</v>
      </c>
      <c r="F190" t="inlineStr">
        <is>
          <t>SKÅNE LÄN</t>
        </is>
      </c>
      <c r="G190" t="inlineStr">
        <is>
          <t>ÖSTRA GÖINGE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45636</v>
      </c>
      <c r="E191" s="1" t="n">
        <v>46269</v>
      </c>
      <c r="F191" t="inlineStr">
        <is>
          <t>SKÅNE LÄN</t>
        </is>
      </c>
      <c r="G191" t="inlineStr">
        <is>
          <t>ÖSTRA GÖINGE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45685</v>
      </c>
      <c r="E192" s="1" t="n">
        <v>46269</v>
      </c>
      <c r="F192" t="inlineStr">
        <is>
          <t>SKÅNE LÄN</t>
        </is>
      </c>
      <c r="G192" t="inlineStr">
        <is>
          <t>ÖSTRA GÖINGE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46269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46269</v>
      </c>
      <c r="F194" t="inlineStr">
        <is>
          <t>SKÅNE LÄN</t>
        </is>
      </c>
      <c r="G194" t="inlineStr">
        <is>
          <t>ÖSTRA GÖINGE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45082</v>
      </c>
      <c r="E195" s="1" t="n">
        <v>46269</v>
      </c>
      <c r="F195" t="inlineStr">
        <is>
          <t>SKÅNE LÄN</t>
        </is>
      </c>
      <c r="G195" t="inlineStr">
        <is>
          <t>ÖSTRA GÖINGE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45774</v>
      </c>
      <c r="E196" s="1" t="n">
        <v>46269</v>
      </c>
      <c r="F196" t="inlineStr">
        <is>
          <t>SKÅNE LÄN</t>
        </is>
      </c>
      <c r="G196" t="inlineStr">
        <is>
          <t>ÖSTRA GÖINGE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62546-2023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45268</v>
      </c>
      <c r="E197" s="1" t="n">
        <v>46269</v>
      </c>
      <c r="F197" t="inlineStr">
        <is>
          <t>SKÅNE LÄN</t>
        </is>
      </c>
      <c r="G197" t="inlineStr">
        <is>
          <t>ÖSTRA GÖINGE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62052-2022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44918</v>
      </c>
      <c r="E198" s="1" t="n">
        <v>46269</v>
      </c>
      <c r="F198" t="inlineStr">
        <is>
          <t>SKÅNE LÄN</t>
        </is>
      </c>
      <c r="G198" t="inlineStr">
        <is>
          <t>ÖSTRA GÖINGE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46269</v>
      </c>
      <c r="F199" t="inlineStr">
        <is>
          <t>SKÅNE LÄN</t>
        </is>
      </c>
      <c r="G199" t="inlineStr">
        <is>
          <t>ÖSTRA GÖINGE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74142-2021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44557</v>
      </c>
      <c r="E200" s="1" t="n">
        <v>46269</v>
      </c>
      <c r="F200" t="inlineStr">
        <is>
          <t>SKÅNE LÄN</t>
        </is>
      </c>
      <c r="G200" t="inlineStr">
        <is>
          <t>ÖSTRA GÖINGE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35547-2023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45146</v>
      </c>
      <c r="E201" s="1" t="n">
        <v>46269</v>
      </c>
      <c r="F201" t="inlineStr">
        <is>
          <t>SKÅNE LÄN</t>
        </is>
      </c>
      <c r="G201" t="inlineStr">
        <is>
          <t>ÖSTRA GÖINGE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46269</v>
      </c>
      <c r="F202" t="inlineStr">
        <is>
          <t>SKÅNE LÄN</t>
        </is>
      </c>
      <c r="G202" t="inlineStr">
        <is>
          <t>ÖSTRA GÖINGE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46269</v>
      </c>
      <c r="F203" t="inlineStr">
        <is>
          <t>SKÅNE LÄN</t>
        </is>
      </c>
      <c r="G203" t="inlineStr">
        <is>
          <t>ÖSTRA GÖINGE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45069</v>
      </c>
      <c r="E204" s="1" t="n">
        <v>46269</v>
      </c>
      <c r="F204" t="inlineStr">
        <is>
          <t>SKÅNE LÄN</t>
        </is>
      </c>
      <c r="G204" t="inlineStr">
        <is>
          <t>ÖSTRA GÖINGE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25933-2023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45090</v>
      </c>
      <c r="E205" s="1" t="n">
        <v>46269</v>
      </c>
      <c r="F205" t="inlineStr">
        <is>
          <t>SKÅNE LÄN</t>
        </is>
      </c>
      <c r="G205" t="inlineStr">
        <is>
          <t>ÖSTRA GÖINGE</t>
        </is>
      </c>
      <c r="I205" t="n">
        <v>12.8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46269</v>
      </c>
      <c r="F206" t="inlineStr">
        <is>
          <t>SKÅNE LÄN</t>
        </is>
      </c>
      <c r="G206" t="inlineStr">
        <is>
          <t>ÖSTRA GÖINGE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44929</v>
      </c>
      <c r="E207" s="1" t="n">
        <v>46269</v>
      </c>
      <c r="F207" t="inlineStr">
        <is>
          <t>SKÅNE LÄN</t>
        </is>
      </c>
      <c r="G207" t="inlineStr">
        <is>
          <t>ÖSTRA GÖINGE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37592-2024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45541</v>
      </c>
      <c r="E208" s="1" t="n">
        <v>46269</v>
      </c>
      <c r="F208" t="inlineStr">
        <is>
          <t>SKÅNE LÄN</t>
        </is>
      </c>
      <c r="G208" t="inlineStr">
        <is>
          <t>ÖSTRA GÖINGE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44910</v>
      </c>
      <c r="E209" s="1" t="n">
        <v>46269</v>
      </c>
      <c r="F209" t="inlineStr">
        <is>
          <t>SKÅNE LÄN</t>
        </is>
      </c>
      <c r="G209" t="inlineStr">
        <is>
          <t>ÖSTRA GÖINGE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37571-2024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46269</v>
      </c>
      <c r="F210" t="inlineStr">
        <is>
          <t>SKÅNE LÄN</t>
        </is>
      </c>
      <c r="G210" t="inlineStr">
        <is>
          <t>ÖSTRA GÖINGE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37578-2024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46269</v>
      </c>
      <c r="F211" t="inlineStr">
        <is>
          <t>SKÅNE LÄN</t>
        </is>
      </c>
      <c r="G211" t="inlineStr">
        <is>
          <t>ÖSTRA GÖINGE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50922-2021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46269</v>
      </c>
      <c r="F212" t="inlineStr">
        <is>
          <t>SKÅNE LÄN</t>
        </is>
      </c>
      <c r="G212" t="inlineStr">
        <is>
          <t>ÖSTRA GÖINGE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46269</v>
      </c>
      <c r="F213" t="inlineStr">
        <is>
          <t>SKÅNE LÄN</t>
        </is>
      </c>
      <c r="G213" t="inlineStr">
        <is>
          <t>ÖSTRA GÖINGE</t>
        </is>
      </c>
      <c r="I213" t="n">
        <v>11.9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46269</v>
      </c>
      <c r="F214" t="inlineStr">
        <is>
          <t>SKÅNE LÄN</t>
        </is>
      </c>
      <c r="G214" t="inlineStr">
        <is>
          <t>ÖSTRA GÖINGE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45408</v>
      </c>
      <c r="E215" s="1" t="n">
        <v>46269</v>
      </c>
      <c r="F215" t="inlineStr">
        <is>
          <t>SKÅNE LÄN</t>
        </is>
      </c>
      <c r="G215" t="inlineStr">
        <is>
          <t>ÖSTRA GÖINGE</t>
        </is>
      </c>
      <c r="I215" t="n">
        <v>8.5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57529-2022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46269</v>
      </c>
      <c r="F216" t="inlineStr">
        <is>
          <t>SKÅNE LÄN</t>
        </is>
      </c>
      <c r="G216" t="inlineStr">
        <is>
          <t>ÖSTRA GÖINGE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44949</v>
      </c>
      <c r="E217" s="1" t="n">
        <v>46269</v>
      </c>
      <c r="F217" t="inlineStr">
        <is>
          <t>SKÅNE LÄN</t>
        </is>
      </c>
      <c r="G217" t="inlineStr">
        <is>
          <t>ÖSTRA GÖINGE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45082</v>
      </c>
      <c r="E218" s="1" t="n">
        <v>46269</v>
      </c>
      <c r="F218" t="inlineStr">
        <is>
          <t>SKÅNE LÄN</t>
        </is>
      </c>
      <c r="G218" t="inlineStr">
        <is>
          <t>ÖSTRA GÖINGE</t>
        </is>
      </c>
      <c r="I218" t="n">
        <v>5.1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69384-2021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44531</v>
      </c>
      <c r="E219" s="1" t="n">
        <v>46269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45408</v>
      </c>
      <c r="E220" s="1" t="n">
        <v>46269</v>
      </c>
      <c r="F220" t="inlineStr">
        <is>
          <t>SKÅNE LÄN</t>
        </is>
      </c>
      <c r="G220" t="inlineStr">
        <is>
          <t>ÖSTRA GÖINGE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44914</v>
      </c>
      <c r="E221" s="1" t="n">
        <v>46269</v>
      </c>
      <c r="F221" t="inlineStr">
        <is>
          <t>SKÅNE LÄN</t>
        </is>
      </c>
      <c r="G221" t="inlineStr">
        <is>
          <t>ÖSTRA GÖINGE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43395-2024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45568</v>
      </c>
      <c r="E222" s="1" t="n">
        <v>46269</v>
      </c>
      <c r="F222" t="inlineStr">
        <is>
          <t>SKÅNE LÄN</t>
        </is>
      </c>
      <c r="G222" t="inlineStr">
        <is>
          <t>ÖSTRA GÖINGE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55489-2022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44887</v>
      </c>
      <c r="E223" s="1" t="n">
        <v>46269</v>
      </c>
      <c r="F223" t="inlineStr">
        <is>
          <t>SKÅNE LÄN</t>
        </is>
      </c>
      <c r="G223" t="inlineStr">
        <is>
          <t>ÖSTRA GÖINGE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37552-2024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45541</v>
      </c>
      <c r="E224" s="1" t="n">
        <v>46269</v>
      </c>
      <c r="F224" t="inlineStr">
        <is>
          <t>SKÅNE LÄN</t>
        </is>
      </c>
      <c r="G224" t="inlineStr">
        <is>
          <t>ÖSTRA GÖINGE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45541</v>
      </c>
      <c r="E225" s="1" t="n">
        <v>46269</v>
      </c>
      <c r="F225" t="inlineStr">
        <is>
          <t>SKÅNE LÄN</t>
        </is>
      </c>
      <c r="G225" t="inlineStr">
        <is>
          <t>ÖSTRA GÖINGE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46269</v>
      </c>
      <c r="F226" t="inlineStr">
        <is>
          <t>SKÅNE LÄN</t>
        </is>
      </c>
      <c r="G226" t="inlineStr">
        <is>
          <t>ÖSTRA GÖINGE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45316</v>
      </c>
      <c r="E227" s="1" t="n">
        <v>46269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71741-2021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44539</v>
      </c>
      <c r="E228" s="1" t="n">
        <v>46269</v>
      </c>
      <c r="F228" t="inlineStr">
        <is>
          <t>SKÅNE LÄN</t>
        </is>
      </c>
      <c r="G228" t="inlineStr">
        <is>
          <t>ÖSTRA GÖINGE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44937</v>
      </c>
      <c r="E229" s="1" t="n">
        <v>46269</v>
      </c>
      <c r="F229" t="inlineStr">
        <is>
          <t>SKÅNE LÄN</t>
        </is>
      </c>
      <c r="G229" t="inlineStr">
        <is>
          <t>ÖSTRA GÖINGE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15057-2023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45015</v>
      </c>
      <c r="E230" s="1" t="n">
        <v>46269</v>
      </c>
      <c r="F230" t="inlineStr">
        <is>
          <t>SKÅNE LÄN</t>
        </is>
      </c>
      <c r="G230" t="inlineStr">
        <is>
          <t>ÖSTRA GÖINGE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18540-2022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44686</v>
      </c>
      <c r="E231" s="1" t="n">
        <v>46269</v>
      </c>
      <c r="F231" t="inlineStr">
        <is>
          <t>SKÅNE LÄN</t>
        </is>
      </c>
      <c r="G231" t="inlineStr">
        <is>
          <t>ÖSTRA GÖINGE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24020-2023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45078</v>
      </c>
      <c r="E232" s="1" t="n">
        <v>46269</v>
      </c>
      <c r="F232" t="inlineStr">
        <is>
          <t>SKÅNE LÄN</t>
        </is>
      </c>
      <c r="G232" t="inlineStr">
        <is>
          <t>ÖSTRA GÖINGE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27318-2022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44742</v>
      </c>
      <c r="E233" s="1" t="n">
        <v>46269</v>
      </c>
      <c r="F233" t="inlineStr">
        <is>
          <t>SKÅNE LÄN</t>
        </is>
      </c>
      <c r="G233" t="inlineStr">
        <is>
          <t>ÖSTRA GÖINGE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47405-2022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44853</v>
      </c>
      <c r="E234" s="1" t="n">
        <v>46269</v>
      </c>
      <c r="F234" t="inlineStr">
        <is>
          <t>SKÅNE LÄN</t>
        </is>
      </c>
      <c r="G234" t="inlineStr">
        <is>
          <t>ÖSTRA GÖINGE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46677-2023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46269</v>
      </c>
      <c r="F235" t="inlineStr">
        <is>
          <t>SKÅNE LÄN</t>
        </is>
      </c>
      <c r="G235" t="inlineStr">
        <is>
          <t>ÖSTRA GÖINGE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32514-2023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45121</v>
      </c>
      <c r="E236" s="1" t="n">
        <v>46269</v>
      </c>
      <c r="F236" t="inlineStr">
        <is>
          <t>SKÅNE LÄN</t>
        </is>
      </c>
      <c r="G236" t="inlineStr">
        <is>
          <t>ÖSTRA GÖINGE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44725-2022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44840</v>
      </c>
      <c r="E237" s="1" t="n">
        <v>46269</v>
      </c>
      <c r="F237" t="inlineStr">
        <is>
          <t>SKÅNE LÄN</t>
        </is>
      </c>
      <c r="G237" t="inlineStr">
        <is>
          <t>ÖSTRA GÖINGE</t>
        </is>
      </c>
      <c r="I237" t="n">
        <v>8.300000000000001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46269</v>
      </c>
      <c r="F238" t="inlineStr">
        <is>
          <t>SKÅNE LÄN</t>
        </is>
      </c>
      <c r="G238" t="inlineStr">
        <is>
          <t>ÖSTRA GÖINGE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47592-2023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46269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63436-2023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45274</v>
      </c>
      <c r="E240" s="1" t="n">
        <v>46269</v>
      </c>
      <c r="F240" t="inlineStr">
        <is>
          <t>SKÅNE LÄN</t>
        </is>
      </c>
      <c r="G240" t="inlineStr">
        <is>
          <t>ÖSTRA GÖINGE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61096-2022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46269</v>
      </c>
      <c r="F241" t="inlineStr">
        <is>
          <t>SKÅNE LÄN</t>
        </is>
      </c>
      <c r="G241" t="inlineStr">
        <is>
          <t>ÖSTRA GÖINGE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55716-2024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45622</v>
      </c>
      <c r="E242" s="1" t="n">
        <v>46269</v>
      </c>
      <c r="F242" t="inlineStr">
        <is>
          <t>SKÅNE LÄN</t>
        </is>
      </c>
      <c r="G242" t="inlineStr">
        <is>
          <t>ÖSTRA GÖINGE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46269</v>
      </c>
      <c r="F243" t="inlineStr">
        <is>
          <t>SKÅNE LÄN</t>
        </is>
      </c>
      <c r="G243" t="inlineStr">
        <is>
          <t>ÖSTRA GÖINGE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46269</v>
      </c>
      <c r="F244" t="inlineStr">
        <is>
          <t>SKÅNE LÄN</t>
        </is>
      </c>
      <c r="G244" t="inlineStr">
        <is>
          <t>ÖSTRA GÖINGE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44956</v>
      </c>
      <c r="E245" s="1" t="n">
        <v>46269</v>
      </c>
      <c r="F245" t="inlineStr">
        <is>
          <t>SKÅNE LÄN</t>
        </is>
      </c>
      <c r="G245" t="inlineStr">
        <is>
          <t>ÖSTRA GÖINGE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7739-2024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45349</v>
      </c>
      <c r="E246" s="1" t="n">
        <v>46269</v>
      </c>
      <c r="F246" t="inlineStr">
        <is>
          <t>SKÅNE LÄN</t>
        </is>
      </c>
      <c r="G246" t="inlineStr">
        <is>
          <t>ÖSTRA GÖINGE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34976-2023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45142</v>
      </c>
      <c r="E247" s="1" t="n">
        <v>46269</v>
      </c>
      <c r="F247" t="inlineStr">
        <is>
          <t>SKÅNE LÄN</t>
        </is>
      </c>
      <c r="G247" t="inlineStr">
        <is>
          <t>ÖSTRA GÖINGE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45245</v>
      </c>
      <c r="E248" s="1" t="n">
        <v>46269</v>
      </c>
      <c r="F248" t="inlineStr">
        <is>
          <t>SKÅNE LÄN</t>
        </is>
      </c>
      <c r="G248" t="inlineStr">
        <is>
          <t>ÖSTRA GÖINGE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62138-2023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46269</v>
      </c>
      <c r="F249" t="inlineStr">
        <is>
          <t>SKÅNE LÄN</t>
        </is>
      </c>
      <c r="G249" t="inlineStr">
        <is>
          <t>ÖSTRA GÖINGE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45726</v>
      </c>
      <c r="E250" s="1" t="n">
        <v>46269</v>
      </c>
      <c r="F250" t="inlineStr">
        <is>
          <t>SKÅNE LÄN</t>
        </is>
      </c>
      <c r="G250" t="inlineStr">
        <is>
          <t>ÖSTRA GÖINGE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24028-2022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44723</v>
      </c>
      <c r="E251" s="1" t="n">
        <v>46269</v>
      </c>
      <c r="F251" t="inlineStr">
        <is>
          <t>SKÅNE LÄN</t>
        </is>
      </c>
      <c r="G251" t="inlineStr">
        <is>
          <t>ÖSTRA GÖINGE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46133</v>
      </c>
      <c r="E252" s="1" t="n">
        <v>46269</v>
      </c>
      <c r="F252" t="inlineStr">
        <is>
          <t>SKÅNE LÄN</t>
        </is>
      </c>
      <c r="G252" t="inlineStr">
        <is>
          <t>ÖSTRA GÖINGE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46269</v>
      </c>
      <c r="F253" t="inlineStr">
        <is>
          <t>SKÅNE LÄN</t>
        </is>
      </c>
      <c r="G253" t="inlineStr">
        <is>
          <t>ÖSTRA GÖINGE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19301-2026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46133</v>
      </c>
      <c r="E254" s="1" t="n">
        <v>46269</v>
      </c>
      <c r="F254" t="inlineStr">
        <is>
          <t>SKÅNE LÄN</t>
        </is>
      </c>
      <c r="G254" t="inlineStr">
        <is>
          <t>ÖSTRA GÖINGE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19359-2026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46133</v>
      </c>
      <c r="E255" s="1" t="n">
        <v>46269</v>
      </c>
      <c r="F255" t="inlineStr">
        <is>
          <t>SKÅNE LÄN</t>
        </is>
      </c>
      <c r="G255" t="inlineStr">
        <is>
          <t>ÖSTRA GÖINGE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45331</v>
      </c>
      <c r="E256" s="1" t="n">
        <v>46269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45967</v>
      </c>
      <c r="E257" s="1" t="n">
        <v>46269</v>
      </c>
      <c r="F257" t="inlineStr">
        <is>
          <t>SKÅNE LÄN</t>
        </is>
      </c>
      <c r="G257" t="inlineStr">
        <is>
          <t>ÖSTRA GÖINGE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45804</v>
      </c>
      <c r="E258" s="1" t="n">
        <v>46269</v>
      </c>
      <c r="F258" t="inlineStr">
        <is>
          <t>SKÅNE LÄN</t>
        </is>
      </c>
      <c r="G258" t="inlineStr">
        <is>
          <t>ÖSTRA GÖINGE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36919-2025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46269</v>
      </c>
      <c r="F259" t="inlineStr">
        <is>
          <t>SKÅNE LÄN</t>
        </is>
      </c>
      <c r="G259" t="inlineStr">
        <is>
          <t>ÖSTRA GÖINGE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16438-2023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45029</v>
      </c>
      <c r="E260" s="1" t="n">
        <v>46269</v>
      </c>
      <c r="F260" t="inlineStr">
        <is>
          <t>SKÅNE LÄN</t>
        </is>
      </c>
      <c r="G260" t="inlineStr">
        <is>
          <t>ÖSTRA GÖINGE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50356-2023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45209</v>
      </c>
      <c r="E261" s="1" t="n">
        <v>46269</v>
      </c>
      <c r="F261" t="inlineStr">
        <is>
          <t>SKÅNE LÄN</t>
        </is>
      </c>
      <c r="G261" t="inlineStr">
        <is>
          <t>ÖSTRA GÖINGE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62144-2023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46269</v>
      </c>
      <c r="F262" t="inlineStr">
        <is>
          <t>SKÅNE LÄN</t>
        </is>
      </c>
      <c r="G262" t="inlineStr">
        <is>
          <t>ÖSTRA GÖINGE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45538</v>
      </c>
      <c r="E263" s="1" t="n">
        <v>46269</v>
      </c>
      <c r="F263" t="inlineStr">
        <is>
          <t>SKÅNE LÄN</t>
        </is>
      </c>
      <c r="G263" t="inlineStr">
        <is>
          <t>ÖSTRA GÖINGE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45321</v>
      </c>
      <c r="E264" s="1" t="n">
        <v>46269</v>
      </c>
      <c r="F264" t="inlineStr">
        <is>
          <t>SKÅNE LÄN</t>
        </is>
      </c>
      <c r="G264" t="inlineStr">
        <is>
          <t>ÖSTRA GÖINGE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28858-2025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46269</v>
      </c>
      <c r="F265" t="inlineStr">
        <is>
          <t>SKÅNE LÄN</t>
        </is>
      </c>
      <c r="G265" t="inlineStr">
        <is>
          <t>ÖSTRA GÖINGE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45310</v>
      </c>
      <c r="E266" s="1" t="n">
        <v>46269</v>
      </c>
      <c r="F266" t="inlineStr">
        <is>
          <t>SKÅNE LÄN</t>
        </is>
      </c>
      <c r="G266" t="inlineStr">
        <is>
          <t>ÖSTRA GÖINGE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40621-2025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46269</v>
      </c>
      <c r="F267" t="inlineStr">
        <is>
          <t>SKÅNE LÄN</t>
        </is>
      </c>
      <c r="G267" t="inlineStr">
        <is>
          <t>ÖSTRA GÖINGE</t>
        </is>
      </c>
      <c r="H267" t="inlineStr">
        <is>
          <t>Kyrkan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40618-2025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46269</v>
      </c>
      <c r="F268" t="inlineStr">
        <is>
          <t>SKÅNE LÄN</t>
        </is>
      </c>
      <c r="G268" t="inlineStr">
        <is>
          <t>ÖSTRA GÖINGE</t>
        </is>
      </c>
      <c r="H268" t="inlineStr">
        <is>
          <t>Kyrkan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19149-2024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45428</v>
      </c>
      <c r="E269" s="1" t="n">
        <v>46269</v>
      </c>
      <c r="F269" t="inlineStr">
        <is>
          <t>SKÅNE LÄN</t>
        </is>
      </c>
      <c r="G269" t="inlineStr">
        <is>
          <t>ÖSTRA GÖINGE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45777-2025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45923</v>
      </c>
      <c r="E270" s="1" t="n">
        <v>46269</v>
      </c>
      <c r="F270" t="inlineStr">
        <is>
          <t>SKÅNE LÄN</t>
        </is>
      </c>
      <c r="G270" t="inlineStr">
        <is>
          <t>ÖSTRA GÖINGE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29284-2023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45105</v>
      </c>
      <c r="E271" s="1" t="n">
        <v>46269</v>
      </c>
      <c r="F271" t="inlineStr">
        <is>
          <t>SKÅNE LÄN</t>
        </is>
      </c>
      <c r="G271" t="inlineStr">
        <is>
          <t>ÖSTRA GÖINGE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49795-2025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46269</v>
      </c>
      <c r="F272" t="inlineStr">
        <is>
          <t>SKÅNE LÄN</t>
        </is>
      </c>
      <c r="G272" t="inlineStr">
        <is>
          <t>ÖSTRA GÖINGE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24986-2023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45085</v>
      </c>
      <c r="E273" s="1" t="n">
        <v>46269</v>
      </c>
      <c r="F273" t="inlineStr">
        <is>
          <t>SKÅNE LÄN</t>
        </is>
      </c>
      <c r="G273" t="inlineStr">
        <is>
          <t>ÖSTRA GÖINGE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45601</v>
      </c>
      <c r="E274" s="1" t="n">
        <v>46269</v>
      </c>
      <c r="F274" t="inlineStr">
        <is>
          <t>SKÅNE LÄN</t>
        </is>
      </c>
      <c r="G274" t="inlineStr">
        <is>
          <t>ÖSTRA GÖINGE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46269</v>
      </c>
      <c r="F275" t="inlineStr">
        <is>
          <t>SKÅNE LÄN</t>
        </is>
      </c>
      <c r="G275" t="inlineStr">
        <is>
          <t>ÖSTRA GÖINGE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9538-2023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44981</v>
      </c>
      <c r="E276" s="1" t="n">
        <v>46269</v>
      </c>
      <c r="F276" t="inlineStr">
        <is>
          <t>SKÅNE LÄN</t>
        </is>
      </c>
      <c r="G276" t="inlineStr">
        <is>
          <t>ÖSTRA GÖINGE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8367-2023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44977</v>
      </c>
      <c r="E277" s="1" t="n">
        <v>46269</v>
      </c>
      <c r="F277" t="inlineStr">
        <is>
          <t>SKÅNE LÄN</t>
        </is>
      </c>
      <c r="G277" t="inlineStr">
        <is>
          <t>ÖSTRA GÖINGE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34722-2023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45139</v>
      </c>
      <c r="E278" s="1" t="n">
        <v>46269</v>
      </c>
      <c r="F278" t="inlineStr">
        <is>
          <t>SKÅNE LÄN</t>
        </is>
      </c>
      <c r="G278" t="inlineStr">
        <is>
          <t>ÖSTRA GÖINGE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46269</v>
      </c>
      <c r="F279" t="inlineStr">
        <is>
          <t>SKÅNE LÄN</t>
        </is>
      </c>
      <c r="G279" t="inlineStr">
        <is>
          <t>ÖSTRA GÖINGE</t>
        </is>
      </c>
      <c r="H279" t="inlineStr">
        <is>
          <t>Sveaskog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44953</v>
      </c>
      <c r="E280" s="1" t="n">
        <v>46269</v>
      </c>
      <c r="F280" t="inlineStr">
        <is>
          <t>SKÅNE LÄN</t>
        </is>
      </c>
      <c r="G280" t="inlineStr">
        <is>
          <t>ÖSTRA GÖINGE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45909</v>
      </c>
      <c r="E281" s="1" t="n">
        <v>46269</v>
      </c>
      <c r="F281" t="inlineStr">
        <is>
          <t>SKÅNE LÄN</t>
        </is>
      </c>
      <c r="G281" t="inlineStr">
        <is>
          <t>ÖSTRA GÖINGE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46269</v>
      </c>
      <c r="F282" t="inlineStr">
        <is>
          <t>SKÅNE LÄN</t>
        </is>
      </c>
      <c r="G282" t="inlineStr">
        <is>
          <t>ÖSTRA GÖINGE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46709-2024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46269</v>
      </c>
      <c r="F283" t="inlineStr">
        <is>
          <t>SKÅNE LÄN</t>
        </is>
      </c>
      <c r="G283" t="inlineStr">
        <is>
          <t>ÖSTRA GÖINGE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60519-2023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45259</v>
      </c>
      <c r="E284" s="1" t="n">
        <v>46269</v>
      </c>
      <c r="F284" t="inlineStr">
        <is>
          <t>SKÅNE LÄN</t>
        </is>
      </c>
      <c r="G284" t="inlineStr">
        <is>
          <t>ÖSTRA GÖINGE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44789-2025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46269</v>
      </c>
      <c r="F285" t="inlineStr">
        <is>
          <t>SKÅNE LÄN</t>
        </is>
      </c>
      <c r="G285" t="inlineStr">
        <is>
          <t>ÖSTRA GÖINGE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46269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69387-2021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44531</v>
      </c>
      <c r="E287" s="1" t="n">
        <v>46269</v>
      </c>
      <c r="F287" t="inlineStr">
        <is>
          <t>SKÅNE LÄN</t>
        </is>
      </c>
      <c r="G287" t="inlineStr">
        <is>
          <t>ÖSTRA GÖINGE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71747-2021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44539</v>
      </c>
      <c r="E288" s="1" t="n">
        <v>46269</v>
      </c>
      <c r="F288" t="inlineStr">
        <is>
          <t>SKÅNE LÄN</t>
        </is>
      </c>
      <c r="G288" t="inlineStr">
        <is>
          <t>ÖSTRA GÖINGE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46269</v>
      </c>
      <c r="F289" t="inlineStr">
        <is>
          <t>SKÅNE LÄN</t>
        </is>
      </c>
      <c r="G289" t="inlineStr">
        <is>
          <t>ÖSTRA GÖINGE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48621-2023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46269</v>
      </c>
      <c r="F290" t="inlineStr">
        <is>
          <t>SKÅNE LÄN</t>
        </is>
      </c>
      <c r="G290" t="inlineStr">
        <is>
          <t>ÖSTRA GÖINGE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63167-2023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46269</v>
      </c>
      <c r="F291" t="inlineStr">
        <is>
          <t>SKÅNE LÄN</t>
        </is>
      </c>
      <c r="G291" t="inlineStr">
        <is>
          <t>ÖSTRA GÖINGE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46269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46269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46269</v>
      </c>
      <c r="F294" t="inlineStr">
        <is>
          <t>SKÅNE LÄN</t>
        </is>
      </c>
      <c r="G294" t="inlineStr">
        <is>
          <t>ÖSTRA GÖINGE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46279-2024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45581</v>
      </c>
      <c r="E295" s="1" t="n">
        <v>46269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46269</v>
      </c>
      <c r="F296" t="inlineStr">
        <is>
          <t>SKÅNE LÄN</t>
        </is>
      </c>
      <c r="G296" t="inlineStr">
        <is>
          <t>ÖSTRA GÖINGE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43224-2024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45567</v>
      </c>
      <c r="E297" s="1" t="n">
        <v>46269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45321</v>
      </c>
      <c r="E298" s="1" t="n">
        <v>46269</v>
      </c>
      <c r="F298" t="inlineStr">
        <is>
          <t>SKÅNE LÄN</t>
        </is>
      </c>
      <c r="G298" t="inlineStr">
        <is>
          <t>ÖSTRA GÖINGE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34924-2022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44796</v>
      </c>
      <c r="E299" s="1" t="n">
        <v>46269</v>
      </c>
      <c r="F299" t="inlineStr">
        <is>
          <t>SKÅNE LÄN</t>
        </is>
      </c>
      <c r="G299" t="inlineStr">
        <is>
          <t>ÖSTRA GÖINGE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48707-2025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45935</v>
      </c>
      <c r="E300" s="1" t="n">
        <v>46269</v>
      </c>
      <c r="F300" t="inlineStr">
        <is>
          <t>SKÅNE LÄN</t>
        </is>
      </c>
      <c r="G300" t="inlineStr">
        <is>
          <t>ÖSTRA GÖINGE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43660-2024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45569</v>
      </c>
      <c r="E301" s="1" t="n">
        <v>46269</v>
      </c>
      <c r="F301" t="inlineStr">
        <is>
          <t>SKÅNE LÄN</t>
        </is>
      </c>
      <c r="G301" t="inlineStr">
        <is>
          <t>ÖSTRA GÖINGE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45686</v>
      </c>
      <c r="E302" s="1" t="n">
        <v>46269</v>
      </c>
      <c r="F302" t="inlineStr">
        <is>
          <t>SKÅNE LÄN</t>
        </is>
      </c>
      <c r="G302" t="inlineStr">
        <is>
          <t>ÖSTRA GÖINGE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21260-2026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46147</v>
      </c>
      <c r="E303" s="1" t="n">
        <v>46269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64181-2023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45279</v>
      </c>
      <c r="E304" s="1" t="n">
        <v>46269</v>
      </c>
      <c r="F304" t="inlineStr">
        <is>
          <t>SKÅNE LÄN</t>
        </is>
      </c>
      <c r="G304" t="inlineStr">
        <is>
          <t>ÖSTRA GÖINGE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46269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46269</v>
      </c>
      <c r="F306" t="inlineStr">
        <is>
          <t>SKÅNE LÄN</t>
        </is>
      </c>
      <c r="G306" t="inlineStr">
        <is>
          <t>ÖSTRA GÖINGE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23403-2023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45076</v>
      </c>
      <c r="E307" s="1" t="n">
        <v>46269</v>
      </c>
      <c r="F307" t="inlineStr">
        <is>
          <t>SKÅNE LÄN</t>
        </is>
      </c>
      <c r="G307" t="inlineStr">
        <is>
          <t>ÖSTRA GÖINGE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40843-2023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45172</v>
      </c>
      <c r="E308" s="1" t="n">
        <v>46269</v>
      </c>
      <c r="F308" t="inlineStr">
        <is>
          <t>SKÅNE LÄN</t>
        </is>
      </c>
      <c r="G308" t="inlineStr">
        <is>
          <t>ÖSTRA GÖINGE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45246</v>
      </c>
      <c r="E309" s="1" t="n">
        <v>46269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46269</v>
      </c>
      <c r="F310" t="inlineStr">
        <is>
          <t>SKÅNE LÄN</t>
        </is>
      </c>
      <c r="G310" t="inlineStr">
        <is>
          <t>ÖSTRA GÖINGE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44853-2024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46269</v>
      </c>
      <c r="F311" t="inlineStr">
        <is>
          <t>SKÅNE LÄN</t>
        </is>
      </c>
      <c r="G311" t="inlineStr">
        <is>
          <t>ÖSTRA GÖINGE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46269</v>
      </c>
      <c r="F312" t="inlineStr">
        <is>
          <t>SKÅNE LÄN</t>
        </is>
      </c>
      <c r="G312" t="inlineStr">
        <is>
          <t>ÖSTRA GÖINGE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26506-2025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45807</v>
      </c>
      <c r="E313" s="1" t="n">
        <v>46269</v>
      </c>
      <c r="F313" t="inlineStr">
        <is>
          <t>SKÅNE LÄN</t>
        </is>
      </c>
      <c r="G313" t="inlineStr">
        <is>
          <t>ÖSTRA GÖINGE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46269</v>
      </c>
      <c r="F314" t="inlineStr">
        <is>
          <t>SKÅNE LÄN</t>
        </is>
      </c>
      <c r="G314" t="inlineStr">
        <is>
          <t>ÖSTRA GÖINGE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12671-2025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45733</v>
      </c>
      <c r="E315" s="1" t="n">
        <v>46269</v>
      </c>
      <c r="F315" t="inlineStr">
        <is>
          <t>SKÅNE LÄN</t>
        </is>
      </c>
      <c r="G315" t="inlineStr">
        <is>
          <t>ÖSTRA GÖINGE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54749-2025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46269</v>
      </c>
      <c r="F316" t="inlineStr">
        <is>
          <t>SKÅNE LÄN</t>
        </is>
      </c>
      <c r="G316" t="inlineStr">
        <is>
          <t>ÖSTRA GÖINGE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45645</v>
      </c>
      <c r="E317" s="1" t="n">
        <v>46269</v>
      </c>
      <c r="F317" t="inlineStr">
        <is>
          <t>SKÅNE LÄN</t>
        </is>
      </c>
      <c r="G317" t="inlineStr">
        <is>
          <t>ÖSTRA GÖINGE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45686</v>
      </c>
      <c r="E318" s="1" t="n">
        <v>46269</v>
      </c>
      <c r="F318" t="inlineStr">
        <is>
          <t>SKÅNE LÄN</t>
        </is>
      </c>
      <c r="G318" t="inlineStr">
        <is>
          <t>ÖSTRA GÖINGE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54743-2025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46269</v>
      </c>
      <c r="F319" t="inlineStr">
        <is>
          <t>SKÅNE LÄN</t>
        </is>
      </c>
      <c r="G319" t="inlineStr">
        <is>
          <t>ÖSTRA GÖINGE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46269</v>
      </c>
      <c r="F320" t="inlineStr">
        <is>
          <t>SKÅNE LÄN</t>
        </is>
      </c>
      <c r="G320" t="inlineStr">
        <is>
          <t>ÖSTRA GÖINGE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46269</v>
      </c>
      <c r="F321" t="inlineStr">
        <is>
          <t>SKÅNE LÄN</t>
        </is>
      </c>
      <c r="G321" t="inlineStr">
        <is>
          <t>ÖSTRA GÖINGE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54746-2025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45966</v>
      </c>
      <c r="E322" s="1" t="n">
        <v>46269</v>
      </c>
      <c r="F322" t="inlineStr">
        <is>
          <t>SKÅNE LÄN</t>
        </is>
      </c>
      <c r="G322" t="inlineStr">
        <is>
          <t>ÖSTRA GÖINGE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54747-2025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45966</v>
      </c>
      <c r="E323" s="1" t="n">
        <v>46269</v>
      </c>
      <c r="F323" t="inlineStr">
        <is>
          <t>SKÅNE LÄN</t>
        </is>
      </c>
      <c r="G323" t="inlineStr">
        <is>
          <t>ÖSTRA GÖINGE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66526-2021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44519</v>
      </c>
      <c r="E324" s="1" t="n">
        <v>46269</v>
      </c>
      <c r="F324" t="inlineStr">
        <is>
          <t>SKÅNE LÄN</t>
        </is>
      </c>
      <c r="G324" t="inlineStr">
        <is>
          <t>ÖSTRA GÖINGE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55310-2025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45970</v>
      </c>
      <c r="E325" s="1" t="n">
        <v>46269</v>
      </c>
      <c r="F325" t="inlineStr">
        <is>
          <t>SKÅNE LÄN</t>
        </is>
      </c>
      <c r="G325" t="inlineStr">
        <is>
          <t>ÖSTRA GÖINGE</t>
        </is>
      </c>
      <c r="I325" t="n">
        <v>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46269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55825-2025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46269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45972</v>
      </c>
      <c r="E328" s="1" t="n">
        <v>46269</v>
      </c>
      <c r="F328" t="inlineStr">
        <is>
          <t>SKÅNE LÄN</t>
        </is>
      </c>
      <c r="G328" t="inlineStr">
        <is>
          <t>ÖSTRA GÖINGE</t>
        </is>
      </c>
      <c r="H328" t="inlineStr">
        <is>
          <t>Sveaskog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46269</v>
      </c>
      <c r="F329" t="inlineStr">
        <is>
          <t>SKÅNE LÄN</t>
        </is>
      </c>
      <c r="G329" t="inlineStr">
        <is>
          <t>ÖSTRA GÖINGE</t>
        </is>
      </c>
      <c r="H329" t="inlineStr">
        <is>
          <t>Sveaskog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45972</v>
      </c>
      <c r="E330" s="1" t="n">
        <v>46269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55823-2025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45972</v>
      </c>
      <c r="E331" s="1" t="n">
        <v>46269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46269</v>
      </c>
      <c r="F332" t="inlineStr">
        <is>
          <t>SKÅNE LÄN</t>
        </is>
      </c>
      <c r="G332" t="inlineStr">
        <is>
          <t>ÖSTRA GÖINGE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7387-2022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44606</v>
      </c>
      <c r="E333" s="1" t="n">
        <v>46269</v>
      </c>
      <c r="F333" t="inlineStr">
        <is>
          <t>SKÅNE LÄN</t>
        </is>
      </c>
      <c r="G333" t="inlineStr">
        <is>
          <t>ÖSTRA GÖINGE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46269</v>
      </c>
      <c r="F334" t="inlineStr">
        <is>
          <t>SKÅNE LÄN</t>
        </is>
      </c>
      <c r="G334" t="inlineStr">
        <is>
          <t>ÖSTRA GÖINGE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45980</v>
      </c>
      <c r="E335" s="1" t="n">
        <v>46269</v>
      </c>
      <c r="F335" t="inlineStr">
        <is>
          <t>SKÅNE LÄN</t>
        </is>
      </c>
      <c r="G335" t="inlineStr">
        <is>
          <t>ÖSTRA GÖINGE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46269</v>
      </c>
      <c r="F336" t="inlineStr">
        <is>
          <t>SKÅNE LÄN</t>
        </is>
      </c>
      <c r="G336" t="inlineStr">
        <is>
          <t>ÖSTRA GÖINGE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57434-2025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46269</v>
      </c>
      <c r="F337" t="inlineStr">
        <is>
          <t>SKÅNE LÄN</t>
        </is>
      </c>
      <c r="G337" t="inlineStr">
        <is>
          <t>ÖSTRA GÖINGE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3445-2022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44585</v>
      </c>
      <c r="E338" s="1" t="n">
        <v>46269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44897</v>
      </c>
      <c r="E339" s="1" t="n">
        <v>46269</v>
      </c>
      <c r="F339" t="inlineStr">
        <is>
          <t>SKÅNE LÄN</t>
        </is>
      </c>
      <c r="G339" t="inlineStr">
        <is>
          <t>ÖSTRA GÖINGE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47628-2022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44852</v>
      </c>
      <c r="E340" s="1" t="n">
        <v>46269</v>
      </c>
      <c r="F340" t="inlineStr">
        <is>
          <t>SKÅNE LÄN</t>
        </is>
      </c>
      <c r="G340" t="inlineStr">
        <is>
          <t>ÖSTRA GÖINGE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44593</v>
      </c>
      <c r="E341" s="1" t="n">
        <v>46269</v>
      </c>
      <c r="F341" t="inlineStr">
        <is>
          <t>SKÅNE LÄN</t>
        </is>
      </c>
      <c r="G341" t="inlineStr">
        <is>
          <t>ÖSTRA GÖINGE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27724-2024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46269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46076</v>
      </c>
      <c r="E343" s="1" t="n">
        <v>46269</v>
      </c>
      <c r="F343" t="inlineStr">
        <is>
          <t>SKÅNE LÄN</t>
        </is>
      </c>
      <c r="G343" t="inlineStr">
        <is>
          <t>ÖSTRA GÖINGE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25389-2026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46176</v>
      </c>
      <c r="E344" s="1" t="n">
        <v>46269</v>
      </c>
      <c r="F344" t="inlineStr">
        <is>
          <t>SKÅNE LÄN</t>
        </is>
      </c>
      <c r="G344" t="inlineStr">
        <is>
          <t>ÖSTRA GÖINGE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54450-2025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46269</v>
      </c>
      <c r="F345" t="inlineStr">
        <is>
          <t>SKÅNE LÄN</t>
        </is>
      </c>
      <c r="G345" t="inlineStr">
        <is>
          <t>ÖSTRA GÖINGE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60018-2025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45993</v>
      </c>
      <c r="E346" s="1" t="n">
        <v>46269</v>
      </c>
      <c r="F346" t="inlineStr">
        <is>
          <t>SKÅNE LÄN</t>
        </is>
      </c>
      <c r="G346" t="inlineStr">
        <is>
          <t>ÖSTRA GÖINGE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46269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46269</v>
      </c>
      <c r="F348" t="inlineStr">
        <is>
          <t>SKÅNE LÄN</t>
        </is>
      </c>
      <c r="G348" t="inlineStr">
        <is>
          <t>ÖSTRA GÖINGE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26467-2026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46182</v>
      </c>
      <c r="E349" s="1" t="n">
        <v>46269</v>
      </c>
      <c r="F349" t="inlineStr">
        <is>
          <t>SKÅNE LÄN</t>
        </is>
      </c>
      <c r="G349" t="inlineStr">
        <is>
          <t>ÖSTRA GÖINGE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26468-2026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46182</v>
      </c>
      <c r="E350" s="1" t="n">
        <v>46269</v>
      </c>
      <c r="F350" t="inlineStr">
        <is>
          <t>SKÅNE LÄN</t>
        </is>
      </c>
      <c r="G350" t="inlineStr">
        <is>
          <t>ÖSTRA GÖINGE</t>
        </is>
      </c>
      <c r="I350" t="n">
        <v>34.5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10937-2022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44627</v>
      </c>
      <c r="E351" s="1" t="n">
        <v>46269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26521-2026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46183</v>
      </c>
      <c r="E352" s="1" t="n">
        <v>46269</v>
      </c>
      <c r="F352" t="inlineStr">
        <is>
          <t>SKÅNE LÄN</t>
        </is>
      </c>
      <c r="G352" t="inlineStr">
        <is>
          <t>ÖSTRA GÖINGE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44946</v>
      </c>
      <c r="E353" s="1" t="n">
        <v>46269</v>
      </c>
      <c r="F353" t="inlineStr">
        <is>
          <t>SKÅNE LÄN</t>
        </is>
      </c>
      <c r="G353" t="inlineStr">
        <is>
          <t>ÖSTRA GÖINGE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45316</v>
      </c>
      <c r="E354" s="1" t="n">
        <v>46269</v>
      </c>
      <c r="F354" t="inlineStr">
        <is>
          <t>SKÅNE LÄN</t>
        </is>
      </c>
      <c r="G354" t="inlineStr">
        <is>
          <t>ÖSTRA GÖINGE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44043-2023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45188</v>
      </c>
      <c r="E355" s="1" t="n">
        <v>46269</v>
      </c>
      <c r="F355" t="inlineStr">
        <is>
          <t>SKÅNE LÄN</t>
        </is>
      </c>
      <c r="G355" t="inlineStr">
        <is>
          <t>ÖSTRA GÖINGE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34793-2023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45141</v>
      </c>
      <c r="E356" s="1" t="n">
        <v>46269</v>
      </c>
      <c r="F356" t="inlineStr">
        <is>
          <t>SKÅNE LÄN</t>
        </is>
      </c>
      <c r="G356" t="inlineStr">
        <is>
          <t>ÖSTRA GÖINGE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46009</v>
      </c>
      <c r="E357" s="1" t="n">
        <v>46269</v>
      </c>
      <c r="F357" t="inlineStr">
        <is>
          <t>SKÅNE LÄN</t>
        </is>
      </c>
      <c r="G357" t="inlineStr">
        <is>
          <t>ÖSTRA GÖINGE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6782-2022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44602</v>
      </c>
      <c r="E358" s="1" t="n">
        <v>46269</v>
      </c>
      <c r="F358" t="inlineStr">
        <is>
          <t>SKÅNE LÄN</t>
        </is>
      </c>
      <c r="G358" t="inlineStr">
        <is>
          <t>ÖSTRA GÖINGE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45541</v>
      </c>
      <c r="E359" s="1" t="n">
        <v>46269</v>
      </c>
      <c r="F359" t="inlineStr">
        <is>
          <t>SKÅNE LÄN</t>
        </is>
      </c>
      <c r="G359" t="inlineStr">
        <is>
          <t>ÖSTRA GÖINGE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46269</v>
      </c>
      <c r="F360" t="inlineStr">
        <is>
          <t>SKÅNE LÄN</t>
        </is>
      </c>
      <c r="G360" t="inlineStr">
        <is>
          <t>ÖSTRA GÖINGE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45541</v>
      </c>
      <c r="E361" s="1" t="n">
        <v>46269</v>
      </c>
      <c r="F361" t="inlineStr">
        <is>
          <t>SKÅNE LÄN</t>
        </is>
      </c>
      <c r="G361" t="inlineStr">
        <is>
          <t>ÖSTRA GÖINGE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46029</v>
      </c>
      <c r="E362" s="1" t="n">
        <v>46269</v>
      </c>
      <c r="F362" t="inlineStr">
        <is>
          <t>SKÅNE LÄN</t>
        </is>
      </c>
      <c r="G362" t="inlineStr">
        <is>
          <t>ÖSTRA GÖINGE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46029</v>
      </c>
      <c r="E363" s="1" t="n">
        <v>46269</v>
      </c>
      <c r="F363" t="inlineStr">
        <is>
          <t>SKÅNE LÄN</t>
        </is>
      </c>
      <c r="G363" t="inlineStr">
        <is>
          <t>ÖSTRA GÖINGE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46269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853-2026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46269</v>
      </c>
      <c r="F365" t="inlineStr">
        <is>
          <t>SKÅNE LÄN</t>
        </is>
      </c>
      <c r="G365" t="inlineStr">
        <is>
          <t>ÖSTRA GÖINGE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46030</v>
      </c>
      <c r="E366" s="1" t="n">
        <v>46269</v>
      </c>
      <c r="F366" t="inlineStr">
        <is>
          <t>SKÅNE LÄN</t>
        </is>
      </c>
      <c r="G366" t="inlineStr">
        <is>
          <t>ÖSTRA GÖINGE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46029</v>
      </c>
      <c r="E367" s="1" t="n">
        <v>46269</v>
      </c>
      <c r="F367" t="inlineStr">
        <is>
          <t>SKÅNE LÄN</t>
        </is>
      </c>
      <c r="G367" t="inlineStr">
        <is>
          <t>ÖSTRA GÖINGE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46269</v>
      </c>
      <c r="F368" t="inlineStr">
        <is>
          <t>SKÅNE LÄN</t>
        </is>
      </c>
      <c r="G368" t="inlineStr">
        <is>
          <t>ÖSTRA GÖINGE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46029</v>
      </c>
      <c r="E369" s="1" t="n">
        <v>46269</v>
      </c>
      <c r="F369" t="inlineStr">
        <is>
          <t>SKÅNE LÄN</t>
        </is>
      </c>
      <c r="G369" t="inlineStr">
        <is>
          <t>ÖSTRA GÖINGE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46269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46269</v>
      </c>
      <c r="F371" t="inlineStr">
        <is>
          <t>SKÅNE LÄN</t>
        </is>
      </c>
      <c r="G371" t="inlineStr">
        <is>
          <t>ÖSTRA GÖINGE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46269</v>
      </c>
      <c r="F372" t="inlineStr">
        <is>
          <t>SKÅNE LÄN</t>
        </is>
      </c>
      <c r="G372" t="inlineStr">
        <is>
          <t>ÖSTRA GÖINGE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35673-2023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45147</v>
      </c>
      <c r="E373" s="1" t="n">
        <v>46269</v>
      </c>
      <c r="F373" t="inlineStr">
        <is>
          <t>SKÅNE LÄN</t>
        </is>
      </c>
      <c r="G373" t="inlineStr">
        <is>
          <t>ÖSTRA GÖINGE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46269</v>
      </c>
      <c r="F374" t="inlineStr">
        <is>
          <t>SKÅNE LÄN</t>
        </is>
      </c>
      <c r="G374" t="inlineStr">
        <is>
          <t>ÖSTRA GÖINGE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46042</v>
      </c>
      <c r="E375" s="1" t="n">
        <v>46269</v>
      </c>
      <c r="F375" t="inlineStr">
        <is>
          <t>SKÅNE LÄN</t>
        </is>
      </c>
      <c r="G375" t="inlineStr">
        <is>
          <t>ÖSTRA GÖINGE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46269</v>
      </c>
      <c r="F376" t="inlineStr">
        <is>
          <t>SKÅNE LÄN</t>
        </is>
      </c>
      <c r="G376" t="inlineStr">
        <is>
          <t>ÖSTRA GÖINGE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42399-2023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45180</v>
      </c>
      <c r="E377" s="1" t="n">
        <v>46269</v>
      </c>
      <c r="F377" t="inlineStr">
        <is>
          <t>SKÅNE LÄN</t>
        </is>
      </c>
      <c r="G377" t="inlineStr">
        <is>
          <t>ÖSTRA GÖINGE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45758</v>
      </c>
      <c r="E378" s="1" t="n">
        <v>46269</v>
      </c>
      <c r="F378" t="inlineStr">
        <is>
          <t>SKÅNE LÄN</t>
        </is>
      </c>
      <c r="G378" t="inlineStr">
        <is>
          <t>ÖSTRA GÖINGE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46269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9.1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45076</v>
      </c>
      <c r="E380" s="1" t="n">
        <v>46269</v>
      </c>
      <c r="F380" t="inlineStr">
        <is>
          <t>SKÅNE LÄN</t>
        </is>
      </c>
      <c r="G380" t="inlineStr">
        <is>
          <t>ÖSTRA GÖINGE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45320</v>
      </c>
      <c r="E381" s="1" t="n">
        <v>46269</v>
      </c>
      <c r="F381" t="inlineStr">
        <is>
          <t>SKÅNE LÄN</t>
        </is>
      </c>
      <c r="G381" t="inlineStr">
        <is>
          <t>ÖSTRA GÖINGE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32982-2026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46241</v>
      </c>
      <c r="E382" s="1" t="n">
        <v>46269</v>
      </c>
      <c r="F382" t="inlineStr">
        <is>
          <t>SKÅNE LÄN</t>
        </is>
      </c>
      <c r="G382" t="inlineStr">
        <is>
          <t>ÖSTRA GÖINGE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11802-2025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46269</v>
      </c>
      <c r="F383" t="inlineStr">
        <is>
          <t>SKÅNE LÄN</t>
        </is>
      </c>
      <c r="G383" t="inlineStr">
        <is>
          <t>ÖSTRA GÖINGE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49228-2023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45210</v>
      </c>
      <c r="E384" s="1" t="n">
        <v>46269</v>
      </c>
      <c r="F384" t="inlineStr">
        <is>
          <t>SKÅNE LÄN</t>
        </is>
      </c>
      <c r="G384" t="inlineStr">
        <is>
          <t>ÖSTRA GÖINGE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35552-2023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45146</v>
      </c>
      <c r="E385" s="1" t="n">
        <v>46269</v>
      </c>
      <c r="F385" t="inlineStr">
        <is>
          <t>SKÅNE LÄN</t>
        </is>
      </c>
      <c r="G385" t="inlineStr">
        <is>
          <t>ÖSTRA GÖINGE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16441-2023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45029</v>
      </c>
      <c r="E386" s="1" t="n">
        <v>46269</v>
      </c>
      <c r="F386" t="inlineStr">
        <is>
          <t>SKÅNE LÄN</t>
        </is>
      </c>
      <c r="G386" t="inlineStr">
        <is>
          <t>ÖSTRA GÖINGE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52522-2021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44466</v>
      </c>
      <c r="E387" s="1" t="n">
        <v>46269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31114-2026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46269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7279-2026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46058</v>
      </c>
      <c r="E389" s="1" t="n">
        <v>46269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7057-2026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46057</v>
      </c>
      <c r="E390" s="1" t="n">
        <v>46269</v>
      </c>
      <c r="F390" t="inlineStr">
        <is>
          <t>SKÅNE LÄN</t>
        </is>
      </c>
      <c r="G390" t="inlineStr">
        <is>
          <t>ÖSTRA GÖINGE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46269</v>
      </c>
      <c r="F391" t="inlineStr">
        <is>
          <t>SKÅNE LÄN</t>
        </is>
      </c>
      <c r="G391" t="inlineStr">
        <is>
          <t>ÖSTRA GÖINGE</t>
        </is>
      </c>
      <c r="I391" t="n">
        <v>7.1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33552-2026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46248</v>
      </c>
      <c r="E392" s="1" t="n">
        <v>46269</v>
      </c>
      <c r="F392" t="inlineStr">
        <is>
          <t>SKÅNE LÄN</t>
        </is>
      </c>
      <c r="G392" t="inlineStr">
        <is>
          <t>ÖSTRA GÖINGE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29856-2026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46269</v>
      </c>
      <c r="F393" t="inlineStr">
        <is>
          <t>SKÅNE LÄN</t>
        </is>
      </c>
      <c r="G393" t="inlineStr">
        <is>
          <t>ÖSTRA GÖINGE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46269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29864-2026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46269</v>
      </c>
      <c r="F395" t="inlineStr">
        <is>
          <t>SKÅNE LÄN</t>
        </is>
      </c>
      <c r="G395" t="inlineStr">
        <is>
          <t>ÖSTRA GÖINGE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29845-2026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46269</v>
      </c>
      <c r="F396" t="inlineStr">
        <is>
          <t>SKÅNE LÄN</t>
        </is>
      </c>
      <c r="G396" t="inlineStr">
        <is>
          <t>ÖSTRA GÖINGE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45541</v>
      </c>
      <c r="E397" s="1" t="n">
        <v>46269</v>
      </c>
      <c r="F397" t="inlineStr">
        <is>
          <t>SKÅNE LÄN</t>
        </is>
      </c>
      <c r="G397" t="inlineStr">
        <is>
          <t>ÖSTRA GÖINGE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13324-2025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46269</v>
      </c>
      <c r="F398" t="inlineStr">
        <is>
          <t>SKÅNE LÄN</t>
        </is>
      </c>
      <c r="G398" t="inlineStr">
        <is>
          <t>ÖSTRA GÖINGE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15993-2024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45405</v>
      </c>
      <c r="E399" s="1" t="n">
        <v>46269</v>
      </c>
      <c r="F399" t="inlineStr">
        <is>
          <t>SKÅNE LÄN</t>
        </is>
      </c>
      <c r="G399" t="inlineStr">
        <is>
          <t>ÖSTRA GÖINGE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43447-2024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45568</v>
      </c>
      <c r="E400" s="1" t="n">
        <v>46269</v>
      </c>
      <c r="F400" t="inlineStr">
        <is>
          <t>SKÅNE LÄN</t>
        </is>
      </c>
      <c r="G400" t="inlineStr">
        <is>
          <t>ÖSTRA GÖINGE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9081-2026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46069</v>
      </c>
      <c r="E401" s="1" t="n">
        <v>46269</v>
      </c>
      <c r="F401" t="inlineStr">
        <is>
          <t>SKÅNE LÄN</t>
        </is>
      </c>
      <c r="G401" t="inlineStr">
        <is>
          <t>ÖSTRA GÖINGE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30111-2026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46206</v>
      </c>
      <c r="E402" s="1" t="n">
        <v>46269</v>
      </c>
      <c r="F402" t="inlineStr">
        <is>
          <t>SKÅNE LÄN</t>
        </is>
      </c>
      <c r="G402" t="inlineStr">
        <is>
          <t>ÖSTRA GÖINGE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45254</v>
      </c>
      <c r="E403" s="1" t="n">
        <v>46269</v>
      </c>
      <c r="F403" t="inlineStr">
        <is>
          <t>SKÅNE LÄN</t>
        </is>
      </c>
      <c r="G403" t="inlineStr">
        <is>
          <t>ÖSTRA GÖINGE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45856</v>
      </c>
      <c r="E404" s="1" t="n">
        <v>46269</v>
      </c>
      <c r="F404" t="inlineStr">
        <is>
          <t>SKÅNE LÄN</t>
        </is>
      </c>
      <c r="G404" t="inlineStr">
        <is>
          <t>ÖSTRA GÖINGE</t>
        </is>
      </c>
      <c r="I404" t="n">
        <v>11.9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44977</v>
      </c>
      <c r="E405" s="1" t="n">
        <v>46269</v>
      </c>
      <c r="F405" t="inlineStr">
        <is>
          <t>SKÅNE LÄN</t>
        </is>
      </c>
      <c r="G405" t="inlineStr">
        <is>
          <t>ÖSTRA GÖINGE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35524-2025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45856</v>
      </c>
      <c r="E406" s="1" t="n">
        <v>46269</v>
      </c>
      <c r="F406" t="inlineStr">
        <is>
          <t>SKÅNE LÄN</t>
        </is>
      </c>
      <c r="G406" t="inlineStr">
        <is>
          <t>ÖSTRA GÖINGE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46269</v>
      </c>
      <c r="F407" t="inlineStr">
        <is>
          <t>SKÅNE LÄN</t>
        </is>
      </c>
      <c r="G407" t="inlineStr">
        <is>
          <t>ÖSTRA GÖINGE</t>
        </is>
      </c>
      <c r="I407" t="n">
        <v>7.4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46269</v>
      </c>
      <c r="F408" t="inlineStr">
        <is>
          <t>SKÅNE LÄN</t>
        </is>
      </c>
      <c r="G408" t="inlineStr">
        <is>
          <t>ÖSTRA GÖINGE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28619-2025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45819</v>
      </c>
      <c r="E409" s="1" t="n">
        <v>46269</v>
      </c>
      <c r="F409" t="inlineStr">
        <is>
          <t>SKÅNE LÄN</t>
        </is>
      </c>
      <c r="G409" t="inlineStr">
        <is>
          <t>ÖSTRA GÖINGE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15688-2023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45021</v>
      </c>
      <c r="E410" s="1" t="n">
        <v>46269</v>
      </c>
      <c r="F410" t="inlineStr">
        <is>
          <t>SKÅNE LÄN</t>
        </is>
      </c>
      <c r="G410" t="inlineStr">
        <is>
          <t>ÖSTRA GÖINGE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34697-2026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46258</v>
      </c>
      <c r="E411" s="1" t="n">
        <v>46269</v>
      </c>
      <c r="F411" t="inlineStr">
        <is>
          <t>SKÅNE LÄN</t>
        </is>
      </c>
      <c r="G411" t="inlineStr">
        <is>
          <t>ÖSTRA GÖINGE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46258</v>
      </c>
      <c r="E412" s="1" t="n">
        <v>46269</v>
      </c>
      <c r="F412" t="inlineStr">
        <is>
          <t>SKÅNE LÄN</t>
        </is>
      </c>
      <c r="G412" t="inlineStr">
        <is>
          <t>ÖSTRA GÖINGE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46269</v>
      </c>
      <c r="F413" t="inlineStr">
        <is>
          <t>SKÅNE LÄN</t>
        </is>
      </c>
      <c r="G413" t="inlineStr">
        <is>
          <t>ÖSTRA GÖINGE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5134-2023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44958</v>
      </c>
      <c r="E414" s="1" t="n">
        <v>46269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37303-2023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45156</v>
      </c>
      <c r="E415" s="1" t="n">
        <v>46269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34840-2026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46258</v>
      </c>
      <c r="E416" s="1" t="n">
        <v>46269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46269</v>
      </c>
      <c r="F417" t="inlineStr">
        <is>
          <t>SKÅNE LÄN</t>
        </is>
      </c>
      <c r="G417" t="inlineStr">
        <is>
          <t>ÖSTRA GÖINGE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15104-2026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46269</v>
      </c>
      <c r="F418" t="inlineStr">
        <is>
          <t>SKÅNE LÄN</t>
        </is>
      </c>
      <c r="G418" t="inlineStr">
        <is>
          <t>ÖSTRA GÖINGE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45243</v>
      </c>
      <c r="E419" s="1" t="n">
        <v>46269</v>
      </c>
      <c r="F419" t="inlineStr">
        <is>
          <t>SKÅNE LÄN</t>
        </is>
      </c>
      <c r="G419" t="inlineStr">
        <is>
          <t>ÖSTRA GÖINGE</t>
        </is>
      </c>
      <c r="I419" t="n">
        <v>7.7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46269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45373</v>
      </c>
      <c r="E421" s="1" t="n">
        <v>46269</v>
      </c>
      <c r="F421" t="inlineStr">
        <is>
          <t>SKÅNE LÄN</t>
        </is>
      </c>
      <c r="G421" t="inlineStr">
        <is>
          <t>ÖSTRA GÖINGE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46265</v>
      </c>
      <c r="E422" s="1" t="n">
        <v>46269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5426-2024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45331</v>
      </c>
      <c r="E423" s="1" t="n">
        <v>46269</v>
      </c>
      <c r="F423" t="inlineStr">
        <is>
          <t>SKÅNE LÄN</t>
        </is>
      </c>
      <c r="G423" t="inlineStr">
        <is>
          <t>ÖSTRA GÖINGE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27322-2022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46269</v>
      </c>
      <c r="F424" t="inlineStr">
        <is>
          <t>SKÅNE LÄN</t>
        </is>
      </c>
      <c r="G424" t="inlineStr">
        <is>
          <t>ÖSTRA GÖINGE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46269</v>
      </c>
      <c r="F425" t="inlineStr">
        <is>
          <t>SKÅNE LÄN</t>
        </is>
      </c>
      <c r="G425" t="inlineStr">
        <is>
          <t>ÖSTRA GÖINGE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19051-2026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46132</v>
      </c>
      <c r="E426" s="1" t="n">
        <v>46269</v>
      </c>
      <c r="F426" t="inlineStr">
        <is>
          <t>SKÅNE LÄN</t>
        </is>
      </c>
      <c r="G426" t="inlineStr">
        <is>
          <t>ÖSTRA GÖINGE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46269</v>
      </c>
      <c r="F427" t="inlineStr">
        <is>
          <t>SKÅNE LÄN</t>
        </is>
      </c>
      <c r="G427" t="inlineStr">
        <is>
          <t>ÖSTRA GÖINGE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19192-2026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46269</v>
      </c>
      <c r="F428" t="inlineStr">
        <is>
          <t>SKÅNE LÄN</t>
        </is>
      </c>
      <c r="G428" t="inlineStr">
        <is>
          <t>ÖSTRA GÖINGE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46132</v>
      </c>
      <c r="E429" s="1" t="n">
        <v>46269</v>
      </c>
      <c r="F429" t="inlineStr">
        <is>
          <t>SKÅNE LÄN</t>
        </is>
      </c>
      <c r="G429" t="inlineStr">
        <is>
          <t>ÖSTRA GÖINGE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19236-2026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46269</v>
      </c>
      <c r="F430" t="inlineStr">
        <is>
          <t>SKÅNE LÄN</t>
        </is>
      </c>
      <c r="G430" t="inlineStr">
        <is>
          <t>ÖSTRA GÖINGE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48408-2023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45205</v>
      </c>
      <c r="E431" s="1" t="n">
        <v>46269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46269</v>
      </c>
      <c r="F432" t="inlineStr">
        <is>
          <t>SKÅNE LÄN</t>
        </is>
      </c>
      <c r="G432" t="inlineStr">
        <is>
          <t>ÖSTRA GÖINGE</t>
        </is>
      </c>
      <c r="I432" t="n">
        <v>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58279-2024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46269</v>
      </c>
      <c r="F433" t="inlineStr">
        <is>
          <t>SKÅNE LÄN</t>
        </is>
      </c>
      <c r="G433" t="inlineStr">
        <is>
          <t>ÖSTRA GÖINGE</t>
        </is>
      </c>
      <c r="I433" t="n">
        <v>9.4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45443</v>
      </c>
      <c r="E434" s="1" t="n">
        <v>46269</v>
      </c>
      <c r="F434" t="inlineStr">
        <is>
          <t>SKÅNE LÄN</t>
        </is>
      </c>
      <c r="G434" t="inlineStr">
        <is>
          <t>ÖSTRA GÖINGE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45307</v>
      </c>
      <c r="E435" s="1" t="n">
        <v>46269</v>
      </c>
      <c r="F435" t="inlineStr">
        <is>
          <t>SKÅNE LÄN</t>
        </is>
      </c>
      <c r="G435" t="inlineStr">
        <is>
          <t>ÖSTRA GÖINGE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45680</v>
      </c>
      <c r="E436" s="1" t="n">
        <v>46269</v>
      </c>
      <c r="F436" t="inlineStr">
        <is>
          <t>SKÅNE LÄN</t>
        </is>
      </c>
      <c r="G436" t="inlineStr">
        <is>
          <t>ÖSTRA GÖINGE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44930</v>
      </c>
      <c r="E437" s="1" t="n">
        <v>46269</v>
      </c>
      <c r="F437" t="inlineStr">
        <is>
          <t>SKÅNE LÄN</t>
        </is>
      </c>
      <c r="G437" t="inlineStr">
        <is>
          <t>ÖSTRA GÖINGE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47591-2023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45203</v>
      </c>
      <c r="E438" s="1" t="n">
        <v>46269</v>
      </c>
      <c r="F438" t="inlineStr">
        <is>
          <t>SKÅNE LÄN</t>
        </is>
      </c>
      <c r="G438" t="inlineStr">
        <is>
          <t>ÖSTRA GÖINGE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59328-2023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45252</v>
      </c>
      <c r="E439" s="1" t="n">
        <v>46269</v>
      </c>
      <c r="F439" t="inlineStr">
        <is>
          <t>SKÅNE LÄN</t>
        </is>
      </c>
      <c r="G439" t="inlineStr">
        <is>
          <t>ÖSTRA GÖINGE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46269</v>
      </c>
      <c r="F440" t="inlineStr">
        <is>
          <t>SKÅNE LÄN</t>
        </is>
      </c>
      <c r="G440" t="inlineStr">
        <is>
          <t>ÖSTRA GÖINGE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42313-2024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45562</v>
      </c>
      <c r="E441" s="1" t="n">
        <v>46269</v>
      </c>
      <c r="F441" t="inlineStr">
        <is>
          <t>SKÅNE LÄN</t>
        </is>
      </c>
      <c r="G441" t="inlineStr">
        <is>
          <t>ÖSTRA GÖINGE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41777-2023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45176</v>
      </c>
      <c r="E442" s="1" t="n">
        <v>46269</v>
      </c>
      <c r="F442" t="inlineStr">
        <is>
          <t>SKÅNE LÄN</t>
        </is>
      </c>
      <c r="G442" t="inlineStr">
        <is>
          <t>ÖSTRA GÖINGE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58518-2024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45635</v>
      </c>
      <c r="E443" s="1" t="n">
        <v>46269</v>
      </c>
      <c r="F443" t="inlineStr">
        <is>
          <t>SKÅNE LÄN</t>
        </is>
      </c>
      <c r="G443" t="inlineStr">
        <is>
          <t>ÖSTRA GÖINGE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43478-2023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46269</v>
      </c>
      <c r="F444" t="inlineStr">
        <is>
          <t>SKÅNE LÄN</t>
        </is>
      </c>
      <c r="G444" t="inlineStr">
        <is>
          <t>ÖSTRA GÖINGE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36963-2024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46269</v>
      </c>
      <c r="F445" t="inlineStr">
        <is>
          <t>SKÅNE LÄN</t>
        </is>
      </c>
      <c r="G445" t="inlineStr">
        <is>
          <t>ÖSTRA GÖINGE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45489</v>
      </c>
      <c r="E446" s="1" t="n">
        <v>46269</v>
      </c>
      <c r="F446" t="inlineStr">
        <is>
          <t>SKÅNE LÄN</t>
        </is>
      </c>
      <c r="G446" t="inlineStr">
        <is>
          <t>ÖSTRA GÖINGE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59355-2024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45638</v>
      </c>
      <c r="E447" s="1" t="n">
        <v>46269</v>
      </c>
      <c r="F447" t="inlineStr">
        <is>
          <t>SKÅNE LÄN</t>
        </is>
      </c>
      <c r="G447" t="inlineStr">
        <is>
          <t>ÖSTRA GÖINGE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7804-2025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45706</v>
      </c>
      <c r="E448" s="1" t="n">
        <v>46269</v>
      </c>
      <c r="F448" t="inlineStr">
        <is>
          <t>SKÅNE LÄN</t>
        </is>
      </c>
      <c r="G448" t="inlineStr">
        <is>
          <t>ÖSTRA GÖINGE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46269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46269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46269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46269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46269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46269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46269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46269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46269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46269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46269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46269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46269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46269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46269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46269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46269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46269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46269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46269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46269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46269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46269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46269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46269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46269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46269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46269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46269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46269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46269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46269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46269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46269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46269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46269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46269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46269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46269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46269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46269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46269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2026-09-04T02:07:57Z</dcterms:created>
  <dcterms:modified xmlns:dcterms="http://purl.org/dc/terms/" xmlns:xsi="http://www.w3.org/2001/XMLSchema-instance" xsi:type="dcterms:W3CDTF">2026-09-04T02:07:58Z</dcterms:modified>
</cp:coreProperties>
</file>