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46266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46266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46266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46266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46266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46266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46266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46266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46266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46266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46266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46266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46266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46266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46266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46266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46266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46266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37585-2024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45541</v>
      </c>
      <c r="E27" s="1" t="n">
        <v>46266</v>
      </c>
      <c r="F27" t="inlineStr">
        <is>
          <t>SKÅNE LÄN</t>
        </is>
      </c>
      <c r="G27" t="inlineStr">
        <is>
          <t>ÖSTRA GÖINGE</t>
        </is>
      </c>
      <c r="I27" t="n">
        <v>22.7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Gullklöver
Fläcknycklar</t>
        </is>
      </c>
      <c r="W27">
        <f>HYPERLINK("https://klasma.github.io/Logging_1256/artfynd/A 37585-2024 artfynd.xlsx", "A 37585-2024")</f>
        <v/>
      </c>
      <c r="X27">
        <f>HYPERLINK("https://klasma.github.io/Logging_1256/kartor/A 37585-2024 karta.png", "A 37585-2024")</f>
        <v/>
      </c>
      <c r="Y27">
        <f>HYPERLINK("https://klasma.github.io/Logging_1256/kartor_geotiff/A 37585-2024 georefererad karta.tif", "A 37585-2024")</f>
        <v/>
      </c>
      <c r="AA27">
        <f>HYPERLINK("https://klasma.github.io/Logging_1256/klagomål/A 37585-2024 FSC-klagomål.docx", "A 37585-2024")</f>
        <v/>
      </c>
      <c r="AB27">
        <f>HYPERLINK("https://klasma.github.io/Logging_1256/klagomålsmail/A 37585-2024 FSC-klagomål mail.docx", "A 37585-2024")</f>
        <v/>
      </c>
      <c r="AC27">
        <f>HYPERLINK("https://klasma.github.io/Logging_1256/tillsyn/A 37585-2024 tillsynsbegäran.docx", "A 37585-2024")</f>
        <v/>
      </c>
      <c r="AD27">
        <f>HYPERLINK("https://klasma.github.io/Logging_1256/tillsynsmail/A 37585-2024 tillsynsbegäran mail.docx", "A 37585-2024")</f>
        <v/>
      </c>
    </row>
    <row r="28" ht="15" customHeight="1">
      <c r="A28" t="inlineStr">
        <is>
          <t>A 34389-2024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45525</v>
      </c>
      <c r="E28" s="1" t="n">
        <v>46266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Pulverädellav
Havstulpanlav</t>
        </is>
      </c>
      <c r="W28">
        <f>HYPERLINK("https://klasma.github.io/Logging_1256/artfynd/A 34389-2024 artfynd.xlsx", "A 34389-2024")</f>
        <v/>
      </c>
      <c r="X28">
        <f>HYPERLINK("https://klasma.github.io/Logging_1256/kartor/A 34389-2024 karta.png", "A 34389-2024")</f>
        <v/>
      </c>
      <c r="Y28">
        <f>HYPERLINK("https://klasma.github.io/Logging_1256/kartor_geotiff/A 34389-2024 georefererad karta.tif", "A 34389-2024")</f>
        <v/>
      </c>
      <c r="AA28">
        <f>HYPERLINK("https://klasma.github.io/Logging_1256/klagomål/A 34389-2024 FSC-klagomål.docx", "A 34389-2024")</f>
        <v/>
      </c>
      <c r="AB28">
        <f>HYPERLINK("https://klasma.github.io/Logging_1256/klagomålsmail/A 34389-2024 FSC-klagomål mail.docx", "A 34389-2024")</f>
        <v/>
      </c>
      <c r="AC28">
        <f>HYPERLINK("https://klasma.github.io/Logging_1256/tillsyn/A 34389-2024 tillsynsbegäran.docx", "A 34389-2024")</f>
        <v/>
      </c>
      <c r="AD28">
        <f>HYPERLINK("https://klasma.github.io/Logging_1256/tillsynsmail/A 34389-2024 tillsynsbegäran mail.docx", "A 34389-2024")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46266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46266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46266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46266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46266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46266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35526-2025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45856</v>
      </c>
      <c r="E42" s="1" t="n">
        <v>46266</v>
      </c>
      <c r="F42" t="inlineStr">
        <is>
          <t>SKÅNE LÄN</t>
        </is>
      </c>
      <c r="G42" t="inlineStr">
        <is>
          <t>ÖSTRA GÖINGE</t>
        </is>
      </c>
      <c r="I42" t="n">
        <v>4.2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HYPERLINK("https://klasma.github.io/Logging_1256/artfynd/A 35526-2025 artfynd.xlsx", "A 35526-2025")</f>
        <v/>
      </c>
      <c r="X42">
        <f>HYPERLINK("https://klasma.github.io/Logging_1256/kartor/A 35526-2025 karta.png", "A 35526-2025")</f>
        <v/>
      </c>
      <c r="Y42">
        <f>HYPERLINK("https://klasma.github.io/Logging_1256/kartor_geotiff/A 35526-2025 georefererad karta.tif", "A 35526-2025")</f>
        <v/>
      </c>
      <c r="AA42">
        <f>HYPERLINK("https://klasma.github.io/Logging_1256/klagomål/A 35526-2025 FSC-klagomål.docx", "A 35526-2025")</f>
        <v/>
      </c>
      <c r="AB42">
        <f>HYPERLINK("https://klasma.github.io/Logging_1256/klagomålsmail/A 35526-2025 FSC-klagomål mail.docx", "A 35526-2025")</f>
        <v/>
      </c>
      <c r="AC42">
        <f>HYPERLINK("https://klasma.github.io/Logging_1256/tillsyn/A 35526-2025 tillsynsbegäran.docx", "A 35526-2025")</f>
        <v/>
      </c>
      <c r="AD42">
        <f>HYPERLINK("https://klasma.github.io/Logging_1256/tillsynsmail/A 35526-2025 tillsynsbegäran mail.docx", "A 35526-2025")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46266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46266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16668-2023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46266</v>
      </c>
      <c r="F45" t="inlineStr">
        <is>
          <t>SKÅNE LÄN</t>
        </is>
      </c>
      <c r="G45" t="inlineStr">
        <is>
          <t>ÖSTRA GÖINGE</t>
        </is>
      </c>
      <c r="I45" t="n">
        <v>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hackspett</t>
        </is>
      </c>
      <c r="W45">
        <f>HYPERLINK("https://klasma.github.io/Logging_1256/artfynd/A 16668-2023 artfynd.xlsx", "A 16668-2023")</f>
        <v/>
      </c>
      <c r="X45">
        <f>HYPERLINK("https://klasma.github.io/Logging_1256/kartor/A 16668-2023 karta.png", "A 16668-2023")</f>
        <v/>
      </c>
      <c r="Y45">
        <f>HYPERLINK("https://klasma.github.io/Logging_1256/kartor_geotiff/A 16668-2023 georefererad karta.tif", "A 16668-2023")</f>
        <v/>
      </c>
      <c r="AA45">
        <f>HYPERLINK("https://klasma.github.io/Logging_1256/klagomål/A 16668-2023 FSC-klagomål.docx", "A 16668-2023")</f>
        <v/>
      </c>
      <c r="AB45">
        <f>HYPERLINK("https://klasma.github.io/Logging_1256/klagomålsmail/A 16668-2023 FSC-klagomål mail.docx", "A 16668-2023")</f>
        <v/>
      </c>
      <c r="AC45">
        <f>HYPERLINK("https://klasma.github.io/Logging_1256/tillsyn/A 16668-2023 tillsynsbegäran.docx", "A 16668-2023")</f>
        <v/>
      </c>
      <c r="AD45">
        <f>HYPERLINK("https://klasma.github.io/Logging_1256/tillsynsmail/A 16668-2023 tillsynsbegäran mail.docx", "A 16668-2023")</f>
        <v/>
      </c>
      <c r="AE45">
        <f>HYPERLINK("https://klasma.github.io/Logging_1256/fåglar/A 16668-2023 prioriterade fågelarter.docx", "A 16668-2023")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46266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46266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46266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46266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46266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46266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46266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6152-2024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46266</v>
      </c>
      <c r="F53" t="inlineStr">
        <is>
          <t>SKÅNE LÄN</t>
        </is>
      </c>
      <c r="G53" t="inlineStr">
        <is>
          <t>ÖSTRA GÖINGE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HYPERLINK("https://klasma.github.io/Logging_1256/artfynd/A 6152-2024 artfynd.xlsx", "A 6152-2024")</f>
        <v/>
      </c>
      <c r="X53">
        <f>HYPERLINK("https://klasma.github.io/Logging_1256/kartor/A 6152-2024 karta.png", "A 6152-2024")</f>
        <v/>
      </c>
      <c r="Y53">
        <f>HYPERLINK("https://klasma.github.io/Logging_1256/kartor_geotiff/A 6152-2024 georefererad karta.tif", "A 6152-2024")</f>
        <v/>
      </c>
      <c r="AA53">
        <f>HYPERLINK("https://klasma.github.io/Logging_1256/klagomål/A 6152-2024 FSC-klagomål.docx", "A 6152-2024")</f>
        <v/>
      </c>
      <c r="AB53">
        <f>HYPERLINK("https://klasma.github.io/Logging_1256/klagomålsmail/A 6152-2024 FSC-klagomål mail.docx", "A 6152-2024")</f>
        <v/>
      </c>
      <c r="AC53">
        <f>HYPERLINK("https://klasma.github.io/Logging_1256/tillsyn/A 6152-2024 tillsynsbegäran.docx", "A 6152-2024")</f>
        <v/>
      </c>
      <c r="AD53">
        <f>HYPERLINK("https://klasma.github.io/Logging_1256/tillsynsmail/A 6152-2024 tillsynsbegäran mail.docx", "A 6152-2024")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46266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46266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46266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46266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46266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46266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46266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46266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46266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46266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46266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46266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46266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46266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46266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46266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46266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46266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46266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46266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46266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46266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46266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46266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46266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46266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46266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46266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46266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46266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46266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44531</v>
      </c>
      <c r="E106" s="1" t="n">
        <v>46266</v>
      </c>
      <c r="F106" t="inlineStr">
        <is>
          <t>SKÅNE LÄN</t>
        </is>
      </c>
      <c r="G106" t="inlineStr">
        <is>
          <t>ÖSTRA GÖINGE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46266</v>
      </c>
      <c r="F107" t="inlineStr">
        <is>
          <t>SKÅNE LÄN</t>
        </is>
      </c>
      <c r="G107" t="inlineStr">
        <is>
          <t>ÖSTRA GÖINGE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46266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46266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46266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46266</v>
      </c>
      <c r="F111" t="inlineStr">
        <is>
          <t>SKÅNE LÄN</t>
        </is>
      </c>
      <c r="G111" t="inlineStr">
        <is>
          <t>ÖSTRA GÖINGE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46266</v>
      </c>
      <c r="F112" t="inlineStr">
        <is>
          <t>SKÅNE LÄN</t>
        </is>
      </c>
      <c r="G112" t="inlineStr">
        <is>
          <t>ÖSTRA GÖINGE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46266</v>
      </c>
      <c r="F113" t="inlineStr">
        <is>
          <t>SKÅNE LÄN</t>
        </is>
      </c>
      <c r="G113" t="inlineStr">
        <is>
          <t>ÖSTRA GÖINGE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45121</v>
      </c>
      <c r="E114" s="1" t="n">
        <v>46266</v>
      </c>
      <c r="F114" t="inlineStr">
        <is>
          <t>SKÅNE LÄN</t>
        </is>
      </c>
      <c r="G114" t="inlineStr">
        <is>
          <t>ÖSTRA GÖINGE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46266</v>
      </c>
      <c r="F115" t="inlineStr">
        <is>
          <t>SKÅNE LÄN</t>
        </is>
      </c>
      <c r="G115" t="inlineStr">
        <is>
          <t>ÖSTRA GÖINGE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46266</v>
      </c>
      <c r="F116" t="inlineStr">
        <is>
          <t>SKÅNE LÄN</t>
        </is>
      </c>
      <c r="G116" t="inlineStr">
        <is>
          <t>ÖSTRA GÖINGE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46266</v>
      </c>
      <c r="F117" t="inlineStr">
        <is>
          <t>SKÅNE LÄN</t>
        </is>
      </c>
      <c r="G117" t="inlineStr">
        <is>
          <t>ÖSTRA GÖINGE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46266</v>
      </c>
      <c r="F118" t="inlineStr">
        <is>
          <t>SKÅNE LÄN</t>
        </is>
      </c>
      <c r="G118" t="inlineStr">
        <is>
          <t>ÖSTRA GÖINGE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46266</v>
      </c>
      <c r="F119" t="inlineStr">
        <is>
          <t>SKÅNE LÄN</t>
        </is>
      </c>
      <c r="G119" t="inlineStr">
        <is>
          <t>ÖSTRA GÖINGE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45935</v>
      </c>
      <c r="E120" s="1" t="n">
        <v>46266</v>
      </c>
      <c r="F120" t="inlineStr">
        <is>
          <t>SKÅNE LÄN</t>
        </is>
      </c>
      <c r="G120" t="inlineStr">
        <is>
          <t>ÖSTRA GÖINGE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69384-2021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46266</v>
      </c>
      <c r="F121" t="inlineStr">
        <is>
          <t>SKÅNE LÄN</t>
        </is>
      </c>
      <c r="G121" t="inlineStr">
        <is>
          <t>ÖSTRA GÖINGE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45564</v>
      </c>
      <c r="E122" s="1" t="n">
        <v>46266</v>
      </c>
      <c r="F122" t="inlineStr">
        <is>
          <t>SKÅNE LÄN</t>
        </is>
      </c>
      <c r="G122" t="inlineStr">
        <is>
          <t>ÖSTRA GÖINGE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45307</v>
      </c>
      <c r="E123" s="1" t="n">
        <v>46266</v>
      </c>
      <c r="F123" t="inlineStr">
        <is>
          <t>SKÅNE LÄN</t>
        </is>
      </c>
      <c r="G123" t="inlineStr">
        <is>
          <t>ÖSTRA GÖINGE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45142</v>
      </c>
      <c r="E124" s="1" t="n">
        <v>46266</v>
      </c>
      <c r="F124" t="inlineStr">
        <is>
          <t>SKÅNE LÄN</t>
        </is>
      </c>
      <c r="G124" t="inlineStr">
        <is>
          <t>ÖSTRA GÖINGE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24028-2022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44723</v>
      </c>
      <c r="E125" s="1" t="n">
        <v>46266</v>
      </c>
      <c r="F125" t="inlineStr">
        <is>
          <t>SKÅNE LÄN</t>
        </is>
      </c>
      <c r="G125" t="inlineStr">
        <is>
          <t>ÖSTRA GÖINGE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45022</v>
      </c>
      <c r="E126" s="1" t="n">
        <v>46266</v>
      </c>
      <c r="F126" t="inlineStr">
        <is>
          <t>SKÅNE LÄN</t>
        </is>
      </c>
      <c r="G126" t="inlineStr">
        <is>
          <t>ÖSTRA GÖINGE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46266</v>
      </c>
      <c r="F127" t="inlineStr">
        <is>
          <t>SKÅNE LÄN</t>
        </is>
      </c>
      <c r="G127" t="inlineStr">
        <is>
          <t>ÖSTRA GÖINGE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46266</v>
      </c>
      <c r="F128" t="inlineStr">
        <is>
          <t>SKÅNE LÄN</t>
        </is>
      </c>
      <c r="G128" t="inlineStr">
        <is>
          <t>ÖSTRA GÖINGE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46266</v>
      </c>
      <c r="F129" t="inlineStr">
        <is>
          <t>SKÅNE LÄN</t>
        </is>
      </c>
      <c r="G129" t="inlineStr">
        <is>
          <t>ÖSTRA GÖINGE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46266</v>
      </c>
      <c r="F130" t="inlineStr">
        <is>
          <t>SKÅNE LÄN</t>
        </is>
      </c>
      <c r="G130" t="inlineStr">
        <is>
          <t>ÖSTRA GÖINGE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46266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46266</v>
      </c>
      <c r="F132" t="inlineStr">
        <is>
          <t>SKÅNE LÄN</t>
        </is>
      </c>
      <c r="G132" t="inlineStr">
        <is>
          <t>ÖSTRA GÖINGE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46266</v>
      </c>
      <c r="F133" t="inlineStr">
        <is>
          <t>SKÅNE LÄN</t>
        </is>
      </c>
      <c r="G133" t="inlineStr">
        <is>
          <t>ÖSTRA GÖINGE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46266</v>
      </c>
      <c r="F134" t="inlineStr">
        <is>
          <t>SKÅNE LÄN</t>
        </is>
      </c>
      <c r="G134" t="inlineStr">
        <is>
          <t>ÖSTRA GÖINGE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45202</v>
      </c>
      <c r="E135" s="1" t="n">
        <v>46266</v>
      </c>
      <c r="F135" t="inlineStr">
        <is>
          <t>SKÅNE LÄN</t>
        </is>
      </c>
      <c r="G135" t="inlineStr">
        <is>
          <t>ÖSTRA GÖINGE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45797</v>
      </c>
      <c r="E136" s="1" t="n">
        <v>46266</v>
      </c>
      <c r="F136" t="inlineStr">
        <is>
          <t>SKÅNE LÄN</t>
        </is>
      </c>
      <c r="G136" t="inlineStr">
        <is>
          <t>ÖSTRA GÖINGE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46266</v>
      </c>
      <c r="F137" t="inlineStr">
        <is>
          <t>SKÅNE LÄN</t>
        </is>
      </c>
      <c r="G137" t="inlineStr">
        <is>
          <t>ÖSTRA GÖINGE</t>
        </is>
      </c>
      <c r="H137" t="inlineStr">
        <is>
          <t>Kyrkan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46266</v>
      </c>
      <c r="F138" t="inlineStr">
        <is>
          <t>SKÅNE LÄN</t>
        </is>
      </c>
      <c r="G138" t="inlineStr">
        <is>
          <t>ÖSTRA GÖINGE</t>
        </is>
      </c>
      <c r="H138" t="inlineStr">
        <is>
          <t>Kyrkan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46266</v>
      </c>
      <c r="F139" t="inlineStr">
        <is>
          <t>SKÅNE LÄN</t>
        </is>
      </c>
      <c r="G139" t="inlineStr">
        <is>
          <t>ÖSTRA GÖINGE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46266</v>
      </c>
      <c r="F140" t="inlineStr">
        <is>
          <t>SKÅNE LÄN</t>
        </is>
      </c>
      <c r="G140" t="inlineStr">
        <is>
          <t>ÖSTRA GÖINGE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46266</v>
      </c>
      <c r="F141" t="inlineStr">
        <is>
          <t>SKÅNE LÄN</t>
        </is>
      </c>
      <c r="G141" t="inlineStr">
        <is>
          <t>ÖSTRA GÖINGE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46266</v>
      </c>
      <c r="F142" t="inlineStr">
        <is>
          <t>SKÅNE LÄN</t>
        </is>
      </c>
      <c r="G142" t="inlineStr">
        <is>
          <t>ÖSTRA GÖINGE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46266</v>
      </c>
      <c r="F143" t="inlineStr">
        <is>
          <t>SKÅNE LÄN</t>
        </is>
      </c>
      <c r="G143" t="inlineStr">
        <is>
          <t>ÖSTRA GÖINGE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46266</v>
      </c>
      <c r="F144" t="inlineStr">
        <is>
          <t>SKÅNE LÄN</t>
        </is>
      </c>
      <c r="G144" t="inlineStr">
        <is>
          <t>ÖSTRA GÖINGE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46266</v>
      </c>
      <c r="F145" t="inlineStr">
        <is>
          <t>SKÅNE LÄN</t>
        </is>
      </c>
      <c r="G145" t="inlineStr">
        <is>
          <t>ÖSTRA GÖINGE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46266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46266</v>
      </c>
      <c r="F147" t="inlineStr">
        <is>
          <t>SKÅNE LÄN</t>
        </is>
      </c>
      <c r="G147" t="inlineStr">
        <is>
          <t>ÖSTRA GÖINGE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45674</v>
      </c>
      <c r="E148" s="1" t="n">
        <v>46266</v>
      </c>
      <c r="F148" t="inlineStr">
        <is>
          <t>SKÅNE LÄN</t>
        </is>
      </c>
      <c r="G148" t="inlineStr">
        <is>
          <t>ÖSTRA GÖINGE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46266</v>
      </c>
      <c r="F149" t="inlineStr">
        <is>
          <t>SKÅNE LÄN</t>
        </is>
      </c>
      <c r="G149" t="inlineStr">
        <is>
          <t>ÖSTRA GÖINGE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46266</v>
      </c>
      <c r="F150" t="inlineStr">
        <is>
          <t>SKÅNE LÄN</t>
        </is>
      </c>
      <c r="G150" t="inlineStr">
        <is>
          <t>ÖSTRA GÖINGE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45259</v>
      </c>
      <c r="E151" s="1" t="n">
        <v>46266</v>
      </c>
      <c r="F151" t="inlineStr">
        <is>
          <t>SKÅNE LÄN</t>
        </is>
      </c>
      <c r="G151" t="inlineStr">
        <is>
          <t>ÖSTRA GÖINGE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44946</v>
      </c>
      <c r="E152" s="1" t="n">
        <v>46266</v>
      </c>
      <c r="F152" t="inlineStr">
        <is>
          <t>SKÅNE LÄN</t>
        </is>
      </c>
      <c r="G152" t="inlineStr">
        <is>
          <t>ÖSTRA GÖINGE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46266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46266</v>
      </c>
      <c r="F154" t="inlineStr">
        <is>
          <t>SKÅNE LÄN</t>
        </is>
      </c>
      <c r="G154" t="inlineStr">
        <is>
          <t>ÖSTRA GÖINGE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46266</v>
      </c>
      <c r="F155" t="inlineStr">
        <is>
          <t>SKÅNE LÄN</t>
        </is>
      </c>
      <c r="G155" t="inlineStr">
        <is>
          <t>ÖSTRA GÖINGE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46266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46266</v>
      </c>
      <c r="F157" t="inlineStr">
        <is>
          <t>SKÅNE LÄN</t>
        </is>
      </c>
      <c r="G157" t="inlineStr">
        <is>
          <t>ÖSTRA GÖINGE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46266</v>
      </c>
      <c r="F158" t="inlineStr">
        <is>
          <t>SKÅNE LÄN</t>
        </is>
      </c>
      <c r="G158" t="inlineStr">
        <is>
          <t>ÖSTRA GÖINGE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46266</v>
      </c>
      <c r="F159" t="inlineStr">
        <is>
          <t>SKÅNE LÄN</t>
        </is>
      </c>
      <c r="G159" t="inlineStr">
        <is>
          <t>ÖSTRA GÖINGE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46266</v>
      </c>
      <c r="F160" t="inlineStr">
        <is>
          <t>SKÅNE LÄN</t>
        </is>
      </c>
      <c r="G160" t="inlineStr">
        <is>
          <t>ÖSTRA GÖINGE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46266</v>
      </c>
      <c r="F161" t="inlineStr">
        <is>
          <t>SKÅNE LÄN</t>
        </is>
      </c>
      <c r="G161" t="inlineStr">
        <is>
          <t>ÖSTRA GÖINGE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46266</v>
      </c>
      <c r="F162" t="inlineStr">
        <is>
          <t>SKÅNE LÄN</t>
        </is>
      </c>
      <c r="G162" t="inlineStr">
        <is>
          <t>ÖSTRA GÖINGE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45274</v>
      </c>
      <c r="E163" s="1" t="n">
        <v>46266</v>
      </c>
      <c r="F163" t="inlineStr">
        <is>
          <t>SKÅNE LÄN</t>
        </is>
      </c>
      <c r="G163" t="inlineStr">
        <is>
          <t>ÖSTRA GÖINGE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46266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46266</v>
      </c>
      <c r="F165" t="inlineStr">
        <is>
          <t>SKÅNE LÄN</t>
        </is>
      </c>
      <c r="G165" t="inlineStr">
        <is>
          <t>ÖSTRA GÖINGE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46266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46266</v>
      </c>
      <c r="F167" t="inlineStr">
        <is>
          <t>SKÅNE LÄN</t>
        </is>
      </c>
      <c r="G167" t="inlineStr">
        <is>
          <t>ÖSTRA GÖINGE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46266</v>
      </c>
      <c r="F168" t="inlineStr">
        <is>
          <t>SKÅNE LÄN</t>
        </is>
      </c>
      <c r="G168" t="inlineStr">
        <is>
          <t>ÖSTRA GÖINGE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46266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46266</v>
      </c>
      <c r="F170" t="inlineStr">
        <is>
          <t>SKÅNE LÄN</t>
        </is>
      </c>
      <c r="G170" t="inlineStr">
        <is>
          <t>ÖSTRA GÖINGE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46266</v>
      </c>
      <c r="F171" t="inlineStr">
        <is>
          <t>SKÅNE LÄN</t>
        </is>
      </c>
      <c r="G171" t="inlineStr">
        <is>
          <t>ÖSTRA GÖINGE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45667</v>
      </c>
      <c r="E172" s="1" t="n">
        <v>46266</v>
      </c>
      <c r="F172" t="inlineStr">
        <is>
          <t>SKÅNE LÄN</t>
        </is>
      </c>
      <c r="G172" t="inlineStr">
        <is>
          <t>ÖSTRA GÖINGE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46266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46266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46266</v>
      </c>
      <c r="F175" t="inlineStr">
        <is>
          <t>SKÅNE LÄN</t>
        </is>
      </c>
      <c r="G175" t="inlineStr">
        <is>
          <t>ÖSTRA GÖINGE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36324-2022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44803</v>
      </c>
      <c r="E176" s="1" t="n">
        <v>46266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44043-2023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45188</v>
      </c>
      <c r="E177" s="1" t="n">
        <v>46266</v>
      </c>
      <c r="F177" t="inlineStr">
        <is>
          <t>SKÅNE LÄN</t>
        </is>
      </c>
      <c r="G177" t="inlineStr">
        <is>
          <t>ÖSTRA GÖINGE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44915</v>
      </c>
      <c r="E178" s="1" t="n">
        <v>46266</v>
      </c>
      <c r="F178" t="inlineStr">
        <is>
          <t>SKÅNE LÄN</t>
        </is>
      </c>
      <c r="G178" t="inlineStr">
        <is>
          <t>ÖSTRA GÖINGE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46266</v>
      </c>
      <c r="F179" t="inlineStr">
        <is>
          <t>SKÅNE LÄN</t>
        </is>
      </c>
      <c r="G179" t="inlineStr">
        <is>
          <t>ÖSTRA GÖINGE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45475</v>
      </c>
      <c r="E180" s="1" t="n">
        <v>46266</v>
      </c>
      <c r="F180" t="inlineStr">
        <is>
          <t>SKÅNE LÄN</t>
        </is>
      </c>
      <c r="G180" t="inlineStr">
        <is>
          <t>ÖSTRA GÖINGE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46266</v>
      </c>
      <c r="F181" t="inlineStr">
        <is>
          <t>SKÅNE LÄN</t>
        </is>
      </c>
      <c r="G181" t="inlineStr">
        <is>
          <t>ÖSTRA GÖINGE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46266</v>
      </c>
      <c r="F182" t="inlineStr">
        <is>
          <t>SKÅNE LÄN</t>
        </is>
      </c>
      <c r="G182" t="inlineStr">
        <is>
          <t>ÖSTRA GÖINGE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46266</v>
      </c>
      <c r="F183" t="inlineStr">
        <is>
          <t>SKÅNE LÄN</t>
        </is>
      </c>
      <c r="G183" t="inlineStr">
        <is>
          <t>ÖSTRA GÖINGE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45539</v>
      </c>
      <c r="E184" s="1" t="n">
        <v>46266</v>
      </c>
      <c r="F184" t="inlineStr">
        <is>
          <t>SKÅNE LÄN</t>
        </is>
      </c>
      <c r="G184" t="inlineStr">
        <is>
          <t>ÖSTRA GÖINGE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46266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46266</v>
      </c>
      <c r="F186" t="inlineStr">
        <is>
          <t>SKÅNE LÄN</t>
        </is>
      </c>
      <c r="G186" t="inlineStr">
        <is>
          <t>ÖSTRA GÖINGE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46266</v>
      </c>
      <c r="F187" t="inlineStr">
        <is>
          <t>SKÅNE LÄN</t>
        </is>
      </c>
      <c r="G187" t="inlineStr">
        <is>
          <t>ÖSTRA GÖINGE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45227</v>
      </c>
      <c r="E188" s="1" t="n">
        <v>46266</v>
      </c>
      <c r="F188" t="inlineStr">
        <is>
          <t>SKÅNE LÄN</t>
        </is>
      </c>
      <c r="G188" t="inlineStr">
        <is>
          <t>ÖSTRA GÖINGE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46266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45428</v>
      </c>
      <c r="E190" s="1" t="n">
        <v>46266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46266</v>
      </c>
      <c r="F191" t="inlineStr">
        <is>
          <t>SKÅNE LÄN</t>
        </is>
      </c>
      <c r="G191" t="inlineStr">
        <is>
          <t>ÖSTRA GÖINGE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46266</v>
      </c>
      <c r="F192" t="inlineStr">
        <is>
          <t>SKÅNE LÄN</t>
        </is>
      </c>
      <c r="G192" t="inlineStr">
        <is>
          <t>ÖSTRA GÖINGE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46266</v>
      </c>
      <c r="F193" t="inlineStr">
        <is>
          <t>SKÅNE LÄN</t>
        </is>
      </c>
      <c r="G193" t="inlineStr">
        <is>
          <t>ÖSTRA GÖINGE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46266</v>
      </c>
      <c r="F194" t="inlineStr">
        <is>
          <t>SKÅNE LÄN</t>
        </is>
      </c>
      <c r="G194" t="inlineStr">
        <is>
          <t>ÖSTRA GÖINGE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46266</v>
      </c>
      <c r="F195" t="inlineStr">
        <is>
          <t>SKÅNE LÄN</t>
        </is>
      </c>
      <c r="G195" t="inlineStr">
        <is>
          <t>ÖSTRA GÖINGE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46266</v>
      </c>
      <c r="F196" t="inlineStr">
        <is>
          <t>SKÅNE LÄN</t>
        </is>
      </c>
      <c r="G196" t="inlineStr">
        <is>
          <t>ÖSTRA GÖINGE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45970</v>
      </c>
      <c r="E197" s="1" t="n">
        <v>46266</v>
      </c>
      <c r="F197" t="inlineStr">
        <is>
          <t>SKÅNE LÄN</t>
        </is>
      </c>
      <c r="G197" t="inlineStr">
        <is>
          <t>ÖSTRA GÖINGE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46266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46266</v>
      </c>
      <c r="F199" t="inlineStr">
        <is>
          <t>SKÅNE LÄN</t>
        </is>
      </c>
      <c r="G199" t="inlineStr">
        <is>
          <t>ÖSTRA GÖINGE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46266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46266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46266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46266</v>
      </c>
      <c r="F203" t="inlineStr">
        <is>
          <t>SKÅNE LÄN</t>
        </is>
      </c>
      <c r="G203" t="inlineStr">
        <is>
          <t>ÖSTRA GÖINGE</t>
        </is>
      </c>
      <c r="H203" t="inlineStr">
        <is>
          <t>Sveaskog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46266</v>
      </c>
      <c r="F204" t="inlineStr">
        <is>
          <t>SKÅNE LÄN</t>
        </is>
      </c>
      <c r="G204" t="inlineStr">
        <is>
          <t>ÖSTRA GÖINGE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46266</v>
      </c>
      <c r="F205" t="inlineStr">
        <is>
          <t>SKÅNE LÄN</t>
        </is>
      </c>
      <c r="G205" t="inlineStr">
        <is>
          <t>ÖSTRA GÖINGE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46266</v>
      </c>
      <c r="F206" t="inlineStr">
        <is>
          <t>SKÅNE LÄN</t>
        </is>
      </c>
      <c r="G206" t="inlineStr">
        <is>
          <t>ÖSTRA GÖINGE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45489</v>
      </c>
      <c r="E207" s="1" t="n">
        <v>46266</v>
      </c>
      <c r="F207" t="inlineStr">
        <is>
          <t>SKÅNE LÄN</t>
        </is>
      </c>
      <c r="G207" t="inlineStr">
        <is>
          <t>ÖSTRA GÖINGE</t>
        </is>
      </c>
      <c r="I207" t="n">
        <v>11.9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45686</v>
      </c>
      <c r="E208" s="1" t="n">
        <v>46266</v>
      </c>
      <c r="F208" t="inlineStr">
        <is>
          <t>SKÅNE LÄN</t>
        </is>
      </c>
      <c r="G208" t="inlineStr">
        <is>
          <t>ÖSTRA GÖINGE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46266</v>
      </c>
      <c r="F209" t="inlineStr">
        <is>
          <t>SKÅNE LÄN</t>
        </is>
      </c>
      <c r="G209" t="inlineStr">
        <is>
          <t>ÖSTRA GÖINGE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46266</v>
      </c>
      <c r="F210" t="inlineStr">
        <is>
          <t>SKÅNE LÄN</t>
        </is>
      </c>
      <c r="G210" t="inlineStr">
        <is>
          <t>ÖSTRA GÖINGE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44937</v>
      </c>
      <c r="E211" s="1" t="n">
        <v>46266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45316</v>
      </c>
      <c r="E212" s="1" t="n">
        <v>46266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46266</v>
      </c>
      <c r="F213" t="inlineStr">
        <is>
          <t>SKÅNE LÄN</t>
        </is>
      </c>
      <c r="G213" t="inlineStr">
        <is>
          <t>ÖSTRA GÖINGE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46266</v>
      </c>
      <c r="F214" t="inlineStr">
        <is>
          <t>SKÅNE LÄN</t>
        </is>
      </c>
      <c r="G214" t="inlineStr">
        <is>
          <t>ÖSTRA GÖINGE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45422</v>
      </c>
      <c r="E215" s="1" t="n">
        <v>46266</v>
      </c>
      <c r="F215" t="inlineStr">
        <is>
          <t>SKÅNE LÄN</t>
        </is>
      </c>
      <c r="G215" t="inlineStr">
        <is>
          <t>ÖSTRA GÖINGE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44627</v>
      </c>
      <c r="E216" s="1" t="n">
        <v>46266</v>
      </c>
      <c r="F216" t="inlineStr">
        <is>
          <t>SKÅNE LÄN</t>
        </is>
      </c>
      <c r="G216" t="inlineStr">
        <is>
          <t>ÖSTRA GÖINGE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46266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46266</v>
      </c>
      <c r="F218" t="inlineStr">
        <is>
          <t>SKÅNE LÄN</t>
        </is>
      </c>
      <c r="G218" t="inlineStr">
        <is>
          <t>ÖSTRA GÖINGE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71741-2021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44539</v>
      </c>
      <c r="E219" s="1" t="n">
        <v>46266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46266</v>
      </c>
      <c r="F220" t="inlineStr">
        <is>
          <t>SKÅNE LÄN</t>
        </is>
      </c>
      <c r="G220" t="inlineStr">
        <is>
          <t>ÖSTRA GÖINGE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46266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46266</v>
      </c>
      <c r="F222" t="inlineStr">
        <is>
          <t>SKÅNE LÄN</t>
        </is>
      </c>
      <c r="G222" t="inlineStr">
        <is>
          <t>ÖSTRA GÖINGE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46279-2024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45581</v>
      </c>
      <c r="E223" s="1" t="n">
        <v>46266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45993</v>
      </c>
      <c r="E224" s="1" t="n">
        <v>46266</v>
      </c>
      <c r="F224" t="inlineStr">
        <is>
          <t>SKÅNE LÄN</t>
        </is>
      </c>
      <c r="G224" t="inlineStr">
        <is>
          <t>ÖSTRA GÖINGE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46266</v>
      </c>
      <c r="F225" t="inlineStr">
        <is>
          <t>SKÅNE LÄN</t>
        </is>
      </c>
      <c r="G225" t="inlineStr">
        <is>
          <t>ÖSTRA GÖINGE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45331</v>
      </c>
      <c r="E226" s="1" t="n">
        <v>46266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44853</v>
      </c>
      <c r="E227" s="1" t="n">
        <v>46266</v>
      </c>
      <c r="F227" t="inlineStr">
        <is>
          <t>SKÅNE LÄN</t>
        </is>
      </c>
      <c r="G227" t="inlineStr">
        <is>
          <t>ÖSTRA GÖINGE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45069</v>
      </c>
      <c r="E228" s="1" t="n">
        <v>46266</v>
      </c>
      <c r="F228" t="inlineStr">
        <is>
          <t>SKÅNE LÄN</t>
        </is>
      </c>
      <c r="G228" t="inlineStr">
        <is>
          <t>ÖSTRA GÖINGE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46266</v>
      </c>
      <c r="F229" t="inlineStr">
        <is>
          <t>SKÅNE LÄN</t>
        </is>
      </c>
      <c r="G229" t="inlineStr">
        <is>
          <t>ÖSTRA GÖINGE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46266</v>
      </c>
      <c r="F230" t="inlineStr">
        <is>
          <t>SKÅNE LÄN</t>
        </is>
      </c>
      <c r="G230" t="inlineStr">
        <is>
          <t>ÖSTRA GÖINGE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46266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46266</v>
      </c>
      <c r="F232" t="inlineStr">
        <is>
          <t>SKÅNE LÄN</t>
        </is>
      </c>
      <c r="G232" t="inlineStr">
        <is>
          <t>ÖSTRA GÖINGE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44896</v>
      </c>
      <c r="E233" s="1" t="n">
        <v>46266</v>
      </c>
      <c r="F233" t="inlineStr">
        <is>
          <t>SKÅNE LÄN</t>
        </is>
      </c>
      <c r="G233" t="inlineStr">
        <is>
          <t>ÖSTRA GÖINGE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46266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46266</v>
      </c>
      <c r="F235" t="inlineStr">
        <is>
          <t>SKÅNE LÄN</t>
        </is>
      </c>
      <c r="G235" t="inlineStr">
        <is>
          <t>ÖSTRA GÖINGE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46266</v>
      </c>
      <c r="F236" t="inlineStr">
        <is>
          <t>SKÅNE LÄN</t>
        </is>
      </c>
      <c r="G236" t="inlineStr">
        <is>
          <t>ÖSTRA GÖINGE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45410</v>
      </c>
      <c r="E237" s="1" t="n">
        <v>46266</v>
      </c>
      <c r="F237" t="inlineStr">
        <is>
          <t>SKÅNE LÄN</t>
        </is>
      </c>
      <c r="G237" t="inlineStr">
        <is>
          <t>ÖSTRA GÖINGE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46266</v>
      </c>
      <c r="F238" t="inlineStr">
        <is>
          <t>SKÅNE LÄN</t>
        </is>
      </c>
      <c r="G238" t="inlineStr">
        <is>
          <t>ÖSTRA GÖINGE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46266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45029</v>
      </c>
      <c r="E240" s="1" t="n">
        <v>46266</v>
      </c>
      <c r="F240" t="inlineStr">
        <is>
          <t>SKÅNE LÄN</t>
        </is>
      </c>
      <c r="G240" t="inlineStr">
        <is>
          <t>ÖSTRA GÖINGE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45405</v>
      </c>
      <c r="E241" s="1" t="n">
        <v>46266</v>
      </c>
      <c r="F241" t="inlineStr">
        <is>
          <t>SKÅNE LÄN</t>
        </is>
      </c>
      <c r="G241" t="inlineStr">
        <is>
          <t>ÖSTRA GÖINGE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46266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46266</v>
      </c>
      <c r="F243" t="inlineStr">
        <is>
          <t>SKÅNE LÄN</t>
        </is>
      </c>
      <c r="G243" t="inlineStr">
        <is>
          <t>ÖSTRA GÖINGE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46266</v>
      </c>
      <c r="F244" t="inlineStr">
        <is>
          <t>SKÅNE LÄN</t>
        </is>
      </c>
      <c r="G244" t="inlineStr">
        <is>
          <t>ÖSTRA GÖINGE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46266</v>
      </c>
      <c r="F245" t="inlineStr">
        <is>
          <t>SKÅNE LÄN</t>
        </is>
      </c>
      <c r="G245" t="inlineStr">
        <is>
          <t>ÖSTRA GÖINGE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46029</v>
      </c>
      <c r="E246" s="1" t="n">
        <v>46266</v>
      </c>
      <c r="F246" t="inlineStr">
        <is>
          <t>SKÅNE LÄN</t>
        </is>
      </c>
      <c r="G246" t="inlineStr">
        <is>
          <t>ÖSTRA GÖINGE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46266</v>
      </c>
      <c r="F247" t="inlineStr">
        <is>
          <t>SKÅNE LÄN</t>
        </is>
      </c>
      <c r="G247" t="inlineStr">
        <is>
          <t>ÖSTRA GÖINGE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46266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46266</v>
      </c>
      <c r="F249" t="inlineStr">
        <is>
          <t>SKÅNE LÄN</t>
        </is>
      </c>
      <c r="G249" t="inlineStr">
        <is>
          <t>ÖSTRA GÖINGE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44852</v>
      </c>
      <c r="E250" s="1" t="n">
        <v>46266</v>
      </c>
      <c r="F250" t="inlineStr">
        <is>
          <t>SKÅNE LÄN</t>
        </is>
      </c>
      <c r="G250" t="inlineStr">
        <is>
          <t>ÖSTRA GÖINGE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46266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46266</v>
      </c>
      <c r="F252" t="inlineStr">
        <is>
          <t>SKÅNE LÄN</t>
        </is>
      </c>
      <c r="G252" t="inlineStr">
        <is>
          <t>ÖSTRA GÖINGE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46266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46266</v>
      </c>
      <c r="F254" t="inlineStr">
        <is>
          <t>SKÅNE LÄN</t>
        </is>
      </c>
      <c r="G254" t="inlineStr">
        <is>
          <t>ÖSTRA GÖINGE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46266</v>
      </c>
      <c r="F255" t="inlineStr">
        <is>
          <t>SKÅNE LÄN</t>
        </is>
      </c>
      <c r="G255" t="inlineStr">
        <is>
          <t>ÖSTRA GÖINGE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52522-2021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44466</v>
      </c>
      <c r="E256" s="1" t="n">
        <v>46266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46266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46266</v>
      </c>
      <c r="F258" t="inlineStr">
        <is>
          <t>SKÅNE LÄN</t>
        </is>
      </c>
      <c r="G258" t="inlineStr">
        <is>
          <t>ÖSTRA GÖINGE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46266</v>
      </c>
      <c r="F259" t="inlineStr">
        <is>
          <t>SKÅNE LÄN</t>
        </is>
      </c>
      <c r="G259" t="inlineStr">
        <is>
          <t>ÖSTRA GÖINGE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46266</v>
      </c>
      <c r="F260" t="inlineStr">
        <is>
          <t>SKÅNE LÄN</t>
        </is>
      </c>
      <c r="G260" t="inlineStr">
        <is>
          <t>ÖSTRA GÖINGE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46266</v>
      </c>
      <c r="F261" t="inlineStr">
        <is>
          <t>SKÅNE LÄN</t>
        </is>
      </c>
      <c r="G261" t="inlineStr">
        <is>
          <t>ÖSTRA GÖINGE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45139</v>
      </c>
      <c r="E262" s="1" t="n">
        <v>46266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46266</v>
      </c>
      <c r="F263" t="inlineStr">
        <is>
          <t>SKÅNE LÄN</t>
        </is>
      </c>
      <c r="G263" t="inlineStr">
        <is>
          <t>ÖSTRA GÖINGE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46266</v>
      </c>
      <c r="F264" t="inlineStr">
        <is>
          <t>SKÅNE LÄN</t>
        </is>
      </c>
      <c r="G264" t="inlineStr">
        <is>
          <t>ÖSTRA GÖINGE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46266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46266</v>
      </c>
      <c r="F266" t="inlineStr">
        <is>
          <t>SKÅNE LÄN</t>
        </is>
      </c>
      <c r="G266" t="inlineStr">
        <is>
          <t>ÖSTRA GÖINGE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44897</v>
      </c>
      <c r="E267" s="1" t="n">
        <v>46266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46266</v>
      </c>
      <c r="F268" t="inlineStr">
        <is>
          <t>SKÅNE LÄN</t>
        </is>
      </c>
      <c r="G268" t="inlineStr">
        <is>
          <t>ÖSTRA GÖINGE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69383-2021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44531</v>
      </c>
      <c r="E269" s="1" t="n">
        <v>46266</v>
      </c>
      <c r="F269" t="inlineStr">
        <is>
          <t>SKÅNE LÄN</t>
        </is>
      </c>
      <c r="G269" t="inlineStr">
        <is>
          <t>ÖSTRA GÖINGE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69390-2021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44531</v>
      </c>
      <c r="E270" s="1" t="n">
        <v>46266</v>
      </c>
      <c r="F270" t="inlineStr">
        <is>
          <t>SKÅNE LÄN</t>
        </is>
      </c>
      <c r="G270" t="inlineStr">
        <is>
          <t>ÖSTRA GÖINGE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62052-2022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44918</v>
      </c>
      <c r="E271" s="1" t="n">
        <v>46266</v>
      </c>
      <c r="F271" t="inlineStr">
        <is>
          <t>SKÅNE LÄN</t>
        </is>
      </c>
      <c r="G271" t="inlineStr">
        <is>
          <t>ÖSTRA GÖINGE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46266</v>
      </c>
      <c r="F272" t="inlineStr">
        <is>
          <t>SKÅNE LÄN</t>
        </is>
      </c>
      <c r="G272" t="inlineStr">
        <is>
          <t>ÖSTRA GÖINGE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64181-2023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45279</v>
      </c>
      <c r="E273" s="1" t="n">
        <v>46266</v>
      </c>
      <c r="F273" t="inlineStr">
        <is>
          <t>SKÅNE LÄN</t>
        </is>
      </c>
      <c r="G273" t="inlineStr">
        <is>
          <t>ÖSTRA GÖINGE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46266</v>
      </c>
      <c r="F274" t="inlineStr">
        <is>
          <t>SKÅNE LÄN</t>
        </is>
      </c>
      <c r="G274" t="inlineStr">
        <is>
          <t>ÖSTRA GÖINGE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45310</v>
      </c>
      <c r="E275" s="1" t="n">
        <v>46266</v>
      </c>
      <c r="F275" t="inlineStr">
        <is>
          <t>SKÅNE LÄN</t>
        </is>
      </c>
      <c r="G275" t="inlineStr">
        <is>
          <t>ÖSTRA GÖINGE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7057-2026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46057</v>
      </c>
      <c r="E276" s="1" t="n">
        <v>46266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46266</v>
      </c>
      <c r="F277" t="inlineStr">
        <is>
          <t>SKÅNE LÄN</t>
        </is>
      </c>
      <c r="G277" t="inlineStr">
        <is>
          <t>ÖSTRA GÖINGE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45105</v>
      </c>
      <c r="E278" s="1" t="n">
        <v>46266</v>
      </c>
      <c r="F278" t="inlineStr">
        <is>
          <t>SKÅNE LÄN</t>
        </is>
      </c>
      <c r="G278" t="inlineStr">
        <is>
          <t>ÖSTRA GÖINGE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46266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46266</v>
      </c>
      <c r="F280" t="inlineStr">
        <is>
          <t>SKÅNE LÄN</t>
        </is>
      </c>
      <c r="G280" t="inlineStr">
        <is>
          <t>ÖSTRA GÖINGE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44977</v>
      </c>
      <c r="E281" s="1" t="n">
        <v>46266</v>
      </c>
      <c r="F281" t="inlineStr">
        <is>
          <t>SKÅNE LÄN</t>
        </is>
      </c>
      <c r="G281" t="inlineStr">
        <is>
          <t>ÖSTRA GÖINGE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45239</v>
      </c>
      <c r="E282" s="1" t="n">
        <v>46266</v>
      </c>
      <c r="F282" t="inlineStr">
        <is>
          <t>SKÅNE LÄN</t>
        </is>
      </c>
      <c r="G282" t="inlineStr">
        <is>
          <t>ÖSTRA GÖINGE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45146</v>
      </c>
      <c r="E283" s="1" t="n">
        <v>46266</v>
      </c>
      <c r="F283" t="inlineStr">
        <is>
          <t>SKÅNE LÄN</t>
        </is>
      </c>
      <c r="G283" t="inlineStr">
        <is>
          <t>ÖSTRA GÖINGE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46266</v>
      </c>
      <c r="F284" t="inlineStr">
        <is>
          <t>SKÅNE LÄN</t>
        </is>
      </c>
      <c r="G284" t="inlineStr">
        <is>
          <t>ÖSTRA GÖINGE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46266</v>
      </c>
      <c r="F285" t="inlineStr">
        <is>
          <t>SKÅNE LÄN</t>
        </is>
      </c>
      <c r="G285" t="inlineStr">
        <is>
          <t>ÖSTRA GÖINGE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46266</v>
      </c>
      <c r="F286" t="inlineStr">
        <is>
          <t>SKÅNE LÄN</t>
        </is>
      </c>
      <c r="G286" t="inlineStr">
        <is>
          <t>ÖSTRA GÖINGE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46266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46266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46266</v>
      </c>
      <c r="F289" t="inlineStr">
        <is>
          <t>SKÅNE LÄN</t>
        </is>
      </c>
      <c r="G289" t="inlineStr">
        <is>
          <t>ÖSTRA GÖINGE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45408</v>
      </c>
      <c r="E290" s="1" t="n">
        <v>46266</v>
      </c>
      <c r="F290" t="inlineStr">
        <is>
          <t>SKÅNE LÄN</t>
        </is>
      </c>
      <c r="G290" t="inlineStr">
        <is>
          <t>ÖSTRA GÖINGE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46266</v>
      </c>
      <c r="F291" t="inlineStr">
        <is>
          <t>SKÅNE LÄN</t>
        </is>
      </c>
      <c r="G291" t="inlineStr">
        <is>
          <t>ÖSTRA GÖINGE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50922-2021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44459</v>
      </c>
      <c r="E292" s="1" t="n">
        <v>46266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46266</v>
      </c>
      <c r="F293" t="inlineStr">
        <is>
          <t>SKÅNE LÄN</t>
        </is>
      </c>
      <c r="G293" t="inlineStr">
        <is>
          <t>ÖSTRA GÖINGE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45443</v>
      </c>
      <c r="E294" s="1" t="n">
        <v>46266</v>
      </c>
      <c r="F294" t="inlineStr">
        <is>
          <t>SKÅNE LÄN</t>
        </is>
      </c>
      <c r="G294" t="inlineStr">
        <is>
          <t>ÖSTRA GÖINGE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44937</v>
      </c>
      <c r="E295" s="1" t="n">
        <v>46266</v>
      </c>
      <c r="F295" t="inlineStr">
        <is>
          <t>SKÅNE LÄN</t>
        </is>
      </c>
      <c r="G295" t="inlineStr">
        <is>
          <t>ÖSTRA GÖINGE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66526-2021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44519</v>
      </c>
      <c r="E296" s="1" t="n">
        <v>46266</v>
      </c>
      <c r="F296" t="inlineStr">
        <is>
          <t>SKÅNE LÄN</t>
        </is>
      </c>
      <c r="G296" t="inlineStr">
        <is>
          <t>ÖSTRA GÖINGE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44929</v>
      </c>
      <c r="E297" s="1" t="n">
        <v>46266</v>
      </c>
      <c r="F297" t="inlineStr">
        <is>
          <t>SKÅNE LÄN</t>
        </is>
      </c>
      <c r="G297" t="inlineStr">
        <is>
          <t>ÖSTRA GÖINGE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46266</v>
      </c>
      <c r="F298" t="inlineStr">
        <is>
          <t>SKÅNE LÄN</t>
        </is>
      </c>
      <c r="G298" t="inlineStr">
        <is>
          <t>ÖSTRA GÖINGE</t>
        </is>
      </c>
      <c r="I298" t="n">
        <v>12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46266</v>
      </c>
      <c r="F299" t="inlineStr">
        <is>
          <t>SKÅNE LÄN</t>
        </is>
      </c>
      <c r="G299" t="inlineStr">
        <is>
          <t>ÖSTRA GÖINGE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46266</v>
      </c>
      <c r="F300" t="inlineStr">
        <is>
          <t>SKÅNE LÄN</t>
        </is>
      </c>
      <c r="G300" t="inlineStr">
        <is>
          <t>ÖSTRA GÖINGE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46266</v>
      </c>
      <c r="F301" t="inlineStr">
        <is>
          <t>SKÅNE LÄN</t>
        </is>
      </c>
      <c r="G301" t="inlineStr">
        <is>
          <t>ÖSTRA GÖINGE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46266</v>
      </c>
      <c r="F302" t="inlineStr">
        <is>
          <t>SKÅNE LÄN</t>
        </is>
      </c>
      <c r="G302" t="inlineStr">
        <is>
          <t>ÖSTRA GÖINGE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46266</v>
      </c>
      <c r="F303" t="inlineStr">
        <is>
          <t>SKÅNE LÄN</t>
        </is>
      </c>
      <c r="G303" t="inlineStr">
        <is>
          <t>ÖSTRA GÖINGE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45386</v>
      </c>
      <c r="E304" s="1" t="n">
        <v>46266</v>
      </c>
      <c r="F304" t="inlineStr">
        <is>
          <t>SKÅNE LÄN</t>
        </is>
      </c>
      <c r="G304" t="inlineStr">
        <is>
          <t>ÖSTRA GÖINGE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44686</v>
      </c>
      <c r="E305" s="1" t="n">
        <v>46266</v>
      </c>
      <c r="F305" t="inlineStr">
        <is>
          <t>SKÅNE LÄN</t>
        </is>
      </c>
      <c r="G305" t="inlineStr">
        <is>
          <t>ÖSTRA GÖINGE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45435</v>
      </c>
      <c r="E306" s="1" t="n">
        <v>46266</v>
      </c>
      <c r="F306" t="inlineStr">
        <is>
          <t>SKÅNE LÄN</t>
        </is>
      </c>
      <c r="G306" t="inlineStr">
        <is>
          <t>ÖSTRA GÖINGE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46266</v>
      </c>
      <c r="F307" t="inlineStr">
        <is>
          <t>SKÅNE LÄN</t>
        </is>
      </c>
      <c r="G307" t="inlineStr">
        <is>
          <t>ÖSTRA GÖINGE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63891-2023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45278</v>
      </c>
      <c r="E308" s="1" t="n">
        <v>46266</v>
      </c>
      <c r="F308" t="inlineStr">
        <is>
          <t>SKÅNE LÄN</t>
        </is>
      </c>
      <c r="G308" t="inlineStr">
        <is>
          <t>ÖSTRA GÖINGE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42192-2023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45179</v>
      </c>
      <c r="E309" s="1" t="n">
        <v>46266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46266</v>
      </c>
      <c r="F310" t="inlineStr">
        <is>
          <t>SKÅNE LÄN</t>
        </is>
      </c>
      <c r="G310" t="inlineStr">
        <is>
          <t>ÖSTRA GÖINGE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46266</v>
      </c>
      <c r="F311" t="inlineStr">
        <is>
          <t>SKÅNE LÄN</t>
        </is>
      </c>
      <c r="G311" t="inlineStr">
        <is>
          <t>ÖSTRA GÖINGE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43401-2024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45568</v>
      </c>
      <c r="E312" s="1" t="n">
        <v>46266</v>
      </c>
      <c r="F312" t="inlineStr">
        <is>
          <t>SKÅNE LÄN</t>
        </is>
      </c>
      <c r="G312" t="inlineStr">
        <is>
          <t>ÖSTRA GÖINGE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41548-2022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44826</v>
      </c>
      <c r="E313" s="1" t="n">
        <v>46266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46266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46266</v>
      </c>
      <c r="F315" t="inlineStr">
        <is>
          <t>SKÅNE LÄN</t>
        </is>
      </c>
      <c r="G315" t="inlineStr">
        <is>
          <t>ÖSTRA GÖINGE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45141</v>
      </c>
      <c r="E316" s="1" t="n">
        <v>46266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45321</v>
      </c>
      <c r="E317" s="1" t="n">
        <v>46266</v>
      </c>
      <c r="F317" t="inlineStr">
        <is>
          <t>SKÅNE LÄN</t>
        </is>
      </c>
      <c r="G317" t="inlineStr">
        <is>
          <t>ÖSTRA GÖINGE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46266</v>
      </c>
      <c r="F318" t="inlineStr">
        <is>
          <t>SKÅNE LÄN</t>
        </is>
      </c>
      <c r="G318" t="inlineStr">
        <is>
          <t>ÖSTRA GÖINGE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46266</v>
      </c>
      <c r="F319" t="inlineStr">
        <is>
          <t>SKÅNE LÄN</t>
        </is>
      </c>
      <c r="G319" t="inlineStr">
        <is>
          <t>ÖSTRA GÖINGE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45727</v>
      </c>
      <c r="E320" s="1" t="n">
        <v>46266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45483</v>
      </c>
      <c r="E321" s="1" t="n">
        <v>46266</v>
      </c>
      <c r="F321" t="inlineStr">
        <is>
          <t>SKÅNE LÄN</t>
        </is>
      </c>
      <c r="G321" t="inlineStr">
        <is>
          <t>ÖSTRA GÖINGE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74142-2021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44557</v>
      </c>
      <c r="E322" s="1" t="n">
        <v>46266</v>
      </c>
      <c r="F322" t="inlineStr">
        <is>
          <t>SKÅNE LÄN</t>
        </is>
      </c>
      <c r="G322" t="inlineStr">
        <is>
          <t>ÖSTRA GÖINGE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46266</v>
      </c>
      <c r="F323" t="inlineStr">
        <is>
          <t>SKÅNE LÄN</t>
        </is>
      </c>
      <c r="G323" t="inlineStr">
        <is>
          <t>ÖSTRA GÖINGE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55490-2022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46266</v>
      </c>
      <c r="F324" t="inlineStr">
        <is>
          <t>SKÅNE LÄN</t>
        </is>
      </c>
      <c r="G324" t="inlineStr">
        <is>
          <t>ÖSTRA GÖINGE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46266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46133</v>
      </c>
      <c r="E326" s="1" t="n">
        <v>46266</v>
      </c>
      <c r="F326" t="inlineStr">
        <is>
          <t>SKÅNE LÄN</t>
        </is>
      </c>
      <c r="G326" t="inlineStr">
        <is>
          <t>ÖSTRA GÖINGE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19231-2026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46266</v>
      </c>
      <c r="F327" t="inlineStr">
        <is>
          <t>SKÅNE LÄN</t>
        </is>
      </c>
      <c r="G327" t="inlineStr">
        <is>
          <t>ÖSTRA GÖINGE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46266</v>
      </c>
      <c r="F328" t="inlineStr">
        <is>
          <t>SKÅNE LÄN</t>
        </is>
      </c>
      <c r="G328" t="inlineStr">
        <is>
          <t>ÖSTRA GÖINGE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46133</v>
      </c>
      <c r="E329" s="1" t="n">
        <v>46266</v>
      </c>
      <c r="F329" t="inlineStr">
        <is>
          <t>SKÅNE LÄN</t>
        </is>
      </c>
      <c r="G329" t="inlineStr">
        <is>
          <t>ÖSTRA GÖINGE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46266</v>
      </c>
      <c r="F330" t="inlineStr">
        <is>
          <t>SKÅNE LÄN</t>
        </is>
      </c>
      <c r="G330" t="inlineStr">
        <is>
          <t>ÖSTRA GÖINGE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46266</v>
      </c>
      <c r="F331" t="inlineStr">
        <is>
          <t>SKÅNE LÄN</t>
        </is>
      </c>
      <c r="G331" t="inlineStr">
        <is>
          <t>ÖSTRA GÖINGE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46266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45256</v>
      </c>
      <c r="E333" s="1" t="n">
        <v>46266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46266</v>
      </c>
      <c r="F334" t="inlineStr">
        <is>
          <t>SKÅNE LÄN</t>
        </is>
      </c>
      <c r="G334" t="inlineStr">
        <is>
          <t>ÖSTRA GÖINGE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46266</v>
      </c>
      <c r="F335" t="inlineStr">
        <is>
          <t>SKÅNE LÄN</t>
        </is>
      </c>
      <c r="G335" t="inlineStr">
        <is>
          <t>ÖSTRA GÖINGE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46266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49795-2025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46266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46266</v>
      </c>
      <c r="F338" t="inlineStr">
        <is>
          <t>SKÅNE LÄN</t>
        </is>
      </c>
      <c r="G338" t="inlineStr">
        <is>
          <t>ÖSTRA GÖINGE</t>
        </is>
      </c>
      <c r="H338" t="inlineStr">
        <is>
          <t>Sveaskog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45330</v>
      </c>
      <c r="E339" s="1" t="n">
        <v>46266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45804</v>
      </c>
      <c r="E340" s="1" t="n">
        <v>46266</v>
      </c>
      <c r="F340" t="inlineStr">
        <is>
          <t>SKÅNE LÄN</t>
        </is>
      </c>
      <c r="G340" t="inlineStr">
        <is>
          <t>ÖSTRA GÖINGE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71747-2021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46266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44977</v>
      </c>
      <c r="E342" s="1" t="n">
        <v>46266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45567</v>
      </c>
      <c r="E343" s="1" t="n">
        <v>46266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58938-2024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46266</v>
      </c>
      <c r="F344" t="inlineStr">
        <is>
          <t>SKÅNE LÄN</t>
        </is>
      </c>
      <c r="G344" t="inlineStr">
        <is>
          <t>ÖSTRA GÖINGE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63167-2023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46266</v>
      </c>
      <c r="F345" t="inlineStr">
        <is>
          <t>SKÅNE LÄN</t>
        </is>
      </c>
      <c r="G345" t="inlineStr">
        <is>
          <t>ÖSTRA GÖINGE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45331</v>
      </c>
      <c r="E346" s="1" t="n">
        <v>46266</v>
      </c>
      <c r="F346" t="inlineStr">
        <is>
          <t>SKÅNE LÄN</t>
        </is>
      </c>
      <c r="G346" t="inlineStr">
        <is>
          <t>ÖSTRA GÖINGE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35171-2024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45530</v>
      </c>
      <c r="E347" s="1" t="n">
        <v>46266</v>
      </c>
      <c r="F347" t="inlineStr">
        <is>
          <t>SKÅNE LÄN</t>
        </is>
      </c>
      <c r="G347" t="inlineStr">
        <is>
          <t>ÖSTRA GÖINGE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45090</v>
      </c>
      <c r="E348" s="1" t="n">
        <v>46266</v>
      </c>
      <c r="F348" t="inlineStr">
        <is>
          <t>SKÅNE LÄN</t>
        </is>
      </c>
      <c r="G348" t="inlineStr">
        <is>
          <t>ÖSTRA GÖINGE</t>
        </is>
      </c>
      <c r="I348" t="n">
        <v>12.8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45777-2025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46266</v>
      </c>
      <c r="F349" t="inlineStr">
        <is>
          <t>SKÅNE LÄN</t>
        </is>
      </c>
      <c r="G349" t="inlineStr">
        <is>
          <t>ÖSTRA GÖINGE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44593</v>
      </c>
      <c r="E350" s="1" t="n">
        <v>46266</v>
      </c>
      <c r="F350" t="inlineStr">
        <is>
          <t>SKÅNE LÄN</t>
        </is>
      </c>
      <c r="G350" t="inlineStr">
        <is>
          <t>ÖSTRA GÖINGE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46266</v>
      </c>
      <c r="F351" t="inlineStr">
        <is>
          <t>SKÅNE LÄN</t>
        </is>
      </c>
      <c r="G351" t="inlineStr">
        <is>
          <t>ÖSTRA GÖINGE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46266</v>
      </c>
      <c r="F352" t="inlineStr">
        <is>
          <t>SKÅNE LÄN</t>
        </is>
      </c>
      <c r="G352" t="inlineStr">
        <is>
          <t>ÖSTRA GÖINGE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46266</v>
      </c>
      <c r="F353" t="inlineStr">
        <is>
          <t>SKÅNE LÄN</t>
        </is>
      </c>
      <c r="G353" t="inlineStr">
        <is>
          <t>ÖSTRA GÖINGE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44859</v>
      </c>
      <c r="E354" s="1" t="n">
        <v>46266</v>
      </c>
      <c r="F354" t="inlineStr">
        <is>
          <t>SKÅNE LÄN</t>
        </is>
      </c>
      <c r="G354" t="inlineStr">
        <is>
          <t>ÖSTRA GÖINGE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46266</v>
      </c>
      <c r="F355" t="inlineStr">
        <is>
          <t>SKÅNE LÄN</t>
        </is>
      </c>
      <c r="G355" t="inlineStr">
        <is>
          <t>ÖSTRA GÖINGE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44840</v>
      </c>
      <c r="E356" s="1" t="n">
        <v>46266</v>
      </c>
      <c r="F356" t="inlineStr">
        <is>
          <t>SKÅNE LÄN</t>
        </is>
      </c>
      <c r="G356" t="inlineStr">
        <is>
          <t>ÖSTRA GÖINGE</t>
        </is>
      </c>
      <c r="I356" t="n">
        <v>8.300000000000001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50896-2021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44460</v>
      </c>
      <c r="E357" s="1" t="n">
        <v>46266</v>
      </c>
      <c r="F357" t="inlineStr">
        <is>
          <t>SKÅNE LÄN</t>
        </is>
      </c>
      <c r="G357" t="inlineStr">
        <is>
          <t>ÖSTRA GÖINGE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50927-2021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46266</v>
      </c>
      <c r="F358" t="inlineStr">
        <is>
          <t>SKÅNE LÄN</t>
        </is>
      </c>
      <c r="G358" t="inlineStr">
        <is>
          <t>ÖSTRA GÖINGE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46266</v>
      </c>
      <c r="F359" t="inlineStr">
        <is>
          <t>SKÅNE LÄN</t>
        </is>
      </c>
      <c r="G359" t="inlineStr">
        <is>
          <t>ÖSTRA GÖINGE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46266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46266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45538</v>
      </c>
      <c r="E362" s="1" t="n">
        <v>46266</v>
      </c>
      <c r="F362" t="inlineStr">
        <is>
          <t>SKÅNE LÄN</t>
        </is>
      </c>
      <c r="G362" t="inlineStr">
        <is>
          <t>ÖSTRA GÖINGE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21260-2026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46147</v>
      </c>
      <c r="E363" s="1" t="n">
        <v>46266</v>
      </c>
      <c r="F363" t="inlineStr">
        <is>
          <t>SKÅNE LÄN</t>
        </is>
      </c>
      <c r="G363" t="inlineStr">
        <is>
          <t>ÖSTRA GÖINGE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45321</v>
      </c>
      <c r="E364" s="1" t="n">
        <v>46266</v>
      </c>
      <c r="F364" t="inlineStr">
        <is>
          <t>SKÅNE LÄN</t>
        </is>
      </c>
      <c r="G364" t="inlineStr">
        <is>
          <t>ÖSTRA GÖINGE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45735</v>
      </c>
      <c r="E365" s="1" t="n">
        <v>46266</v>
      </c>
      <c r="F365" t="inlineStr">
        <is>
          <t>SKÅNE LÄN</t>
        </is>
      </c>
      <c r="G365" t="inlineStr">
        <is>
          <t>ÖSTRA GÖINGE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69387-2021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46266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46266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45362</v>
      </c>
      <c r="E368" s="1" t="n">
        <v>46266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45807</v>
      </c>
      <c r="E369" s="1" t="n">
        <v>46266</v>
      </c>
      <c r="F369" t="inlineStr">
        <is>
          <t>SKÅNE LÄN</t>
        </is>
      </c>
      <c r="G369" t="inlineStr">
        <is>
          <t>ÖSTRA GÖINGE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46266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43447-2024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46266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46266</v>
      </c>
      <c r="F372" t="inlineStr">
        <is>
          <t>SKÅNE LÄN</t>
        </is>
      </c>
      <c r="G372" t="inlineStr">
        <is>
          <t>ÖSTRA GÖINGE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46266</v>
      </c>
      <c r="F373" t="inlineStr">
        <is>
          <t>SKÅNE LÄN</t>
        </is>
      </c>
      <c r="G373" t="inlineStr">
        <is>
          <t>ÖSTRA GÖINGE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44896</v>
      </c>
      <c r="E374" s="1" t="n">
        <v>46266</v>
      </c>
      <c r="F374" t="inlineStr">
        <is>
          <t>SKÅNE LÄN</t>
        </is>
      </c>
      <c r="G374" t="inlineStr">
        <is>
          <t>ÖSTRA GÖINGE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45574</v>
      </c>
      <c r="E375" s="1" t="n">
        <v>46266</v>
      </c>
      <c r="F375" t="inlineStr">
        <is>
          <t>SKÅNE LÄN</t>
        </is>
      </c>
      <c r="G375" t="inlineStr">
        <is>
          <t>ÖSTRA GÖINGE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43054-2025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46266</v>
      </c>
      <c r="F376" t="inlineStr">
        <is>
          <t>SKÅNE LÄN</t>
        </is>
      </c>
      <c r="G376" t="inlineStr">
        <is>
          <t>ÖSTRA GÖINGE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10497-2022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44623</v>
      </c>
      <c r="E377" s="1" t="n">
        <v>46266</v>
      </c>
      <c r="F377" t="inlineStr">
        <is>
          <t>SKÅNE LÄN</t>
        </is>
      </c>
      <c r="G377" t="inlineStr">
        <is>
          <t>ÖSTRA GÖINGE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11635-2025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46266</v>
      </c>
      <c r="F378" t="inlineStr">
        <is>
          <t>SKÅNE LÄN</t>
        </is>
      </c>
      <c r="G378" t="inlineStr">
        <is>
          <t>ÖSTRA GÖINGE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46266</v>
      </c>
      <c r="F379" t="inlineStr">
        <is>
          <t>SKÅNE LÄN</t>
        </is>
      </c>
      <c r="G379" t="inlineStr">
        <is>
          <t>ÖSTRA GÖINGE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46266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45686</v>
      </c>
      <c r="E381" s="1" t="n">
        <v>46266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46266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46266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46266</v>
      </c>
      <c r="F384" t="inlineStr">
        <is>
          <t>SKÅNE LÄN</t>
        </is>
      </c>
      <c r="G384" t="inlineStr">
        <is>
          <t>ÖSTRA GÖINGE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46266</v>
      </c>
      <c r="F385" t="inlineStr">
        <is>
          <t>SKÅNE LÄN</t>
        </is>
      </c>
      <c r="G385" t="inlineStr">
        <is>
          <t>ÖSTRA GÖINGE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45373</v>
      </c>
      <c r="E386" s="1" t="n">
        <v>46266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46266</v>
      </c>
      <c r="F387" t="inlineStr">
        <is>
          <t>SKÅNE LÄN</t>
        </is>
      </c>
      <c r="G387" t="inlineStr">
        <is>
          <t>ÖSTRA GÖINGE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23596-2026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46266</v>
      </c>
      <c r="F388" t="inlineStr">
        <is>
          <t>SKÅNE LÄN</t>
        </is>
      </c>
      <c r="G388" t="inlineStr">
        <is>
          <t>ÖSTRA GÖINGE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46266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45203</v>
      </c>
      <c r="E390" s="1" t="n">
        <v>46266</v>
      </c>
      <c r="F390" t="inlineStr">
        <is>
          <t>SKÅNE LÄN</t>
        </is>
      </c>
      <c r="G390" t="inlineStr">
        <is>
          <t>ÖSTRA GÖINGE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46266</v>
      </c>
      <c r="F391" t="inlineStr">
        <is>
          <t>SKÅNE LÄN</t>
        </is>
      </c>
      <c r="G391" t="inlineStr">
        <is>
          <t>ÖSTRA GÖINGE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46266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46266</v>
      </c>
      <c r="F393" t="inlineStr">
        <is>
          <t>SKÅNE LÄN</t>
        </is>
      </c>
      <c r="G393" t="inlineStr">
        <is>
          <t>ÖSTRA GÖINGE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45727</v>
      </c>
      <c r="E394" s="1" t="n">
        <v>46266</v>
      </c>
      <c r="F394" t="inlineStr">
        <is>
          <t>SKÅNE LÄN</t>
        </is>
      </c>
      <c r="G394" t="inlineStr">
        <is>
          <t>ÖSTRA GÖINGE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46266</v>
      </c>
      <c r="F395" t="inlineStr">
        <is>
          <t>SKÅNE LÄN</t>
        </is>
      </c>
      <c r="G395" t="inlineStr">
        <is>
          <t>ÖSTRA GÖINGE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46266</v>
      </c>
      <c r="F396" t="inlineStr">
        <is>
          <t>SKÅNE LÄN</t>
        </is>
      </c>
      <c r="G396" t="inlineStr">
        <is>
          <t>ÖSTRA GÖINGE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45601</v>
      </c>
      <c r="E397" s="1" t="n">
        <v>46266</v>
      </c>
      <c r="F397" t="inlineStr">
        <is>
          <t>SKÅNE LÄN</t>
        </is>
      </c>
      <c r="G397" t="inlineStr">
        <is>
          <t>ÖSTRA GÖINGE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44585</v>
      </c>
      <c r="E398" s="1" t="n">
        <v>46266</v>
      </c>
      <c r="F398" t="inlineStr">
        <is>
          <t>SKÅNE LÄN</t>
        </is>
      </c>
      <c r="G398" t="inlineStr">
        <is>
          <t>ÖSTRA GÖINGE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52930-2021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44467</v>
      </c>
      <c r="E399" s="1" t="n">
        <v>46266</v>
      </c>
      <c r="F399" t="inlineStr">
        <is>
          <t>SKÅNE LÄN</t>
        </is>
      </c>
      <c r="G399" t="inlineStr">
        <is>
          <t>ÖSTRA GÖINGE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55716-2024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45622</v>
      </c>
      <c r="E400" s="1" t="n">
        <v>46266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46266</v>
      </c>
      <c r="F401" t="inlineStr">
        <is>
          <t>SKÅNE LÄN</t>
        </is>
      </c>
      <c r="G401" t="inlineStr">
        <is>
          <t>ÖSTRA GÖINGE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46176</v>
      </c>
      <c r="E402" s="1" t="n">
        <v>46266</v>
      </c>
      <c r="F402" t="inlineStr">
        <is>
          <t>SKÅNE LÄN</t>
        </is>
      </c>
      <c r="G402" t="inlineStr">
        <is>
          <t>ÖSTRA GÖINGE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46266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46266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45574</v>
      </c>
      <c r="E405" s="1" t="n">
        <v>46266</v>
      </c>
      <c r="F405" t="inlineStr">
        <is>
          <t>SKÅNE LÄN</t>
        </is>
      </c>
      <c r="G405" t="inlineStr">
        <is>
          <t>ÖSTRA GÖINGE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46266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46266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44796</v>
      </c>
      <c r="E408" s="1" t="n">
        <v>46266</v>
      </c>
      <c r="F408" t="inlineStr">
        <is>
          <t>SKÅNE LÄN</t>
        </is>
      </c>
      <c r="G408" t="inlineStr">
        <is>
          <t>ÖSTRA GÖINGE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46266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45078</v>
      </c>
      <c r="E410" s="1" t="n">
        <v>46266</v>
      </c>
      <c r="F410" t="inlineStr">
        <is>
          <t>SKÅNE LÄN</t>
        </is>
      </c>
      <c r="G410" t="inlineStr">
        <is>
          <t>ÖSTRA GÖINGE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46266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46266</v>
      </c>
      <c r="F412" t="inlineStr">
        <is>
          <t>SKÅNE LÄN</t>
        </is>
      </c>
      <c r="G412" t="inlineStr">
        <is>
          <t>ÖSTRA GÖINGE</t>
        </is>
      </c>
      <c r="I412" t="n">
        <v>34.5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46266</v>
      </c>
      <c r="F413" t="inlineStr">
        <is>
          <t>SKÅNE LÄN</t>
        </is>
      </c>
      <c r="G413" t="inlineStr">
        <is>
          <t>ÖSTRA GÖINGE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46266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46266</v>
      </c>
      <c r="F415" t="inlineStr">
        <is>
          <t>SKÅNE LÄN</t>
        </is>
      </c>
      <c r="G415" t="inlineStr">
        <is>
          <t>ÖSTRA GÖINGE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46266</v>
      </c>
      <c r="F416" t="inlineStr">
        <is>
          <t>SKÅNE LÄN</t>
        </is>
      </c>
      <c r="G416" t="inlineStr">
        <is>
          <t>ÖSTRA GÖINGE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45774</v>
      </c>
      <c r="E417" s="1" t="n">
        <v>46266</v>
      </c>
      <c r="F417" t="inlineStr">
        <is>
          <t>SKÅNE LÄN</t>
        </is>
      </c>
      <c r="G417" t="inlineStr">
        <is>
          <t>ÖSTRA GÖINGE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46266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37552-2024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46266</v>
      </c>
      <c r="F419" t="inlineStr">
        <is>
          <t>SKÅNE LÄN</t>
        </is>
      </c>
      <c r="G419" t="inlineStr">
        <is>
          <t>ÖSTRA GÖINGE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37575-2024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45541</v>
      </c>
      <c r="E420" s="1" t="n">
        <v>46266</v>
      </c>
      <c r="F420" t="inlineStr">
        <is>
          <t>SKÅNE LÄN</t>
        </is>
      </c>
      <c r="G420" t="inlineStr">
        <is>
          <t>ÖSTRA GÖINGE</t>
        </is>
      </c>
      <c r="I420" t="n">
        <v>8.6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46266</v>
      </c>
      <c r="F421" t="inlineStr">
        <is>
          <t>SKÅNE LÄN</t>
        </is>
      </c>
      <c r="G421" t="inlineStr">
        <is>
          <t>ÖSTRA GÖINGE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46266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45138</v>
      </c>
      <c r="E423" s="1" t="n">
        <v>46266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46266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45765</v>
      </c>
      <c r="E425" s="1" t="n">
        <v>46266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46266</v>
      </c>
      <c r="F426" t="inlineStr">
        <is>
          <t>SKÅNE LÄN</t>
        </is>
      </c>
      <c r="G426" t="inlineStr">
        <is>
          <t>ÖSTRA GÖINGE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46266</v>
      </c>
      <c r="F427" t="inlineStr">
        <is>
          <t>SKÅNE LÄN</t>
        </is>
      </c>
      <c r="G427" t="inlineStr">
        <is>
          <t>ÖSTRA GÖINGE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45076</v>
      </c>
      <c r="E428" s="1" t="n">
        <v>46266</v>
      </c>
      <c r="F428" t="inlineStr">
        <is>
          <t>SKÅNE LÄN</t>
        </is>
      </c>
      <c r="G428" t="inlineStr">
        <is>
          <t>ÖSTRA GÖINGE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46266</v>
      </c>
      <c r="F429" t="inlineStr">
        <is>
          <t>SKÅNE LÄN</t>
        </is>
      </c>
      <c r="G429" t="inlineStr">
        <is>
          <t>ÖSTRA GÖINGE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46266</v>
      </c>
      <c r="F430" t="inlineStr">
        <is>
          <t>SKÅNE LÄN</t>
        </is>
      </c>
      <c r="G430" t="inlineStr">
        <is>
          <t>ÖSTRA GÖINGE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46266</v>
      </c>
      <c r="F431" t="inlineStr">
        <is>
          <t>SKÅNE LÄN</t>
        </is>
      </c>
      <c r="G431" t="inlineStr">
        <is>
          <t>ÖSTRA GÖINGE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44810</v>
      </c>
      <c r="E432" s="1" t="n">
        <v>46266</v>
      </c>
      <c r="F432" t="inlineStr">
        <is>
          <t>SKÅNE LÄN</t>
        </is>
      </c>
      <c r="G432" t="inlineStr">
        <is>
          <t>ÖSTRA GÖINGE</t>
        </is>
      </c>
      <c r="H432" t="inlineStr">
        <is>
          <t>Kyrkan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44946</v>
      </c>
      <c r="E433" s="1" t="n">
        <v>46266</v>
      </c>
      <c r="F433" t="inlineStr">
        <is>
          <t>SKÅNE LÄN</t>
        </is>
      </c>
      <c r="G433" t="inlineStr">
        <is>
          <t>ÖSTRA GÖINGE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46266</v>
      </c>
      <c r="F434" t="inlineStr">
        <is>
          <t>SKÅNE LÄN</t>
        </is>
      </c>
      <c r="G434" t="inlineStr">
        <is>
          <t>ÖSTRA GÖINGE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46266</v>
      </c>
      <c r="F435" t="inlineStr">
        <is>
          <t>SKÅNE LÄN</t>
        </is>
      </c>
      <c r="G435" t="inlineStr">
        <is>
          <t>ÖSTRA GÖINGE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44992</v>
      </c>
      <c r="E436" s="1" t="n">
        <v>46266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46241</v>
      </c>
      <c r="E437" s="1" t="n">
        <v>46266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30111-2026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46206</v>
      </c>
      <c r="E438" s="1" t="n">
        <v>46266</v>
      </c>
      <c r="F438" t="inlineStr">
        <is>
          <t>SKÅNE LÄN</t>
        </is>
      </c>
      <c r="G438" t="inlineStr">
        <is>
          <t>ÖSTRA GÖINGE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46266</v>
      </c>
      <c r="F439" t="inlineStr">
        <is>
          <t>SKÅNE LÄN</t>
        </is>
      </c>
      <c r="G439" t="inlineStr">
        <is>
          <t>ÖSTRA GÖINGE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46266</v>
      </c>
      <c r="F440" t="inlineStr">
        <is>
          <t>SKÅNE LÄN</t>
        </is>
      </c>
      <c r="G440" t="inlineStr">
        <is>
          <t>ÖSTRA GÖINGE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46266</v>
      </c>
      <c r="F441" t="inlineStr">
        <is>
          <t>SKÅNE LÄN</t>
        </is>
      </c>
      <c r="G441" t="inlineStr">
        <is>
          <t>ÖSTRA GÖINGE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46266</v>
      </c>
      <c r="F442" t="inlineStr">
        <is>
          <t>SKÅNE LÄN</t>
        </is>
      </c>
      <c r="G442" t="inlineStr">
        <is>
          <t>ÖSTRA GÖINGE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46266</v>
      </c>
      <c r="F443" t="inlineStr">
        <is>
          <t>SKÅNE LÄN</t>
        </is>
      </c>
      <c r="G443" t="inlineStr">
        <is>
          <t>ÖSTRA GÖINGE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46266</v>
      </c>
      <c r="F444" t="inlineStr">
        <is>
          <t>SKÅNE LÄN</t>
        </is>
      </c>
      <c r="G444" t="inlineStr">
        <is>
          <t>ÖSTRA GÖINGE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46266</v>
      </c>
      <c r="F445" t="inlineStr">
        <is>
          <t>SKÅNE LÄN</t>
        </is>
      </c>
      <c r="G445" t="inlineStr">
        <is>
          <t>ÖSTRA GÖINGE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46266</v>
      </c>
      <c r="F446" t="inlineStr">
        <is>
          <t>SKÅNE LÄN</t>
        </is>
      </c>
      <c r="G446" t="inlineStr">
        <is>
          <t>ÖSTRA GÖINGE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34840-2026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46258</v>
      </c>
      <c r="E447" s="1" t="n">
        <v>46266</v>
      </c>
      <c r="F447" t="inlineStr">
        <is>
          <t>SKÅNE LÄN</t>
        </is>
      </c>
      <c r="G447" t="inlineStr">
        <is>
          <t>ÖSTRA GÖINGE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46266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45301</v>
      </c>
      <c r="E449" s="1" t="n">
        <v>46266</v>
      </c>
      <c r="F449" t="inlineStr">
        <is>
          <t>SKÅNE LÄN</t>
        </is>
      </c>
      <c r="G449" t="inlineStr">
        <is>
          <t>ÖSTRA GÖINGE</t>
        </is>
      </c>
      <c r="I449" t="n">
        <v>53.6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2502-2023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45124</v>
      </c>
      <c r="E450" s="1" t="n">
        <v>46266</v>
      </c>
      <c r="F450" t="inlineStr">
        <is>
          <t>SKÅNE LÄN</t>
        </is>
      </c>
      <c r="G450" t="inlineStr">
        <is>
          <t>ÖSTRA GÖINGE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2639-2022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44700</v>
      </c>
      <c r="E451" s="1" t="n">
        <v>46266</v>
      </c>
      <c r="F451" t="inlineStr">
        <is>
          <t>SKÅNE LÄN</t>
        </is>
      </c>
      <c r="G451" t="inlineStr">
        <is>
          <t>ÖSTRA GÖINGE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46266</v>
      </c>
      <c r="F452" t="inlineStr">
        <is>
          <t>SKÅNE LÄN</t>
        </is>
      </c>
      <c r="G452" t="inlineStr">
        <is>
          <t>ÖSTRA GÖINGE</t>
        </is>
      </c>
      <c r="I452" t="n">
        <v>43.3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46266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46266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46266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46266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46266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46266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2600-2022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46266</v>
      </c>
      <c r="F459" t="inlineStr">
        <is>
          <t>SKÅNE LÄN</t>
        </is>
      </c>
      <c r="G459" t="inlineStr">
        <is>
          <t>ÖSTRA GÖINGE</t>
        </is>
      </c>
      <c r="I459" t="n">
        <v>12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46266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46266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46266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2602-2022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44698</v>
      </c>
      <c r="E463" s="1" t="n">
        <v>46266</v>
      </c>
      <c r="F463" t="inlineStr">
        <is>
          <t>SKÅNE LÄN</t>
        </is>
      </c>
      <c r="G463" t="inlineStr">
        <is>
          <t>ÖSTRA GÖINGE</t>
        </is>
      </c>
      <c r="I463" t="n">
        <v>18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46266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46266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46266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2143-2022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44676</v>
      </c>
      <c r="E467" s="1" t="n">
        <v>46266</v>
      </c>
      <c r="F467" t="inlineStr">
        <is>
          <t>SKÅNE LÄN</t>
        </is>
      </c>
      <c r="G467" t="inlineStr">
        <is>
          <t>ÖSTRA GÖINGE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444-2022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46266</v>
      </c>
      <c r="F468" t="inlineStr">
        <is>
          <t>SKÅNE LÄN</t>
        </is>
      </c>
      <c r="G468" t="inlineStr">
        <is>
          <t>ÖSTRA GÖINGE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46266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46266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46266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46266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450-2022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46266</v>
      </c>
      <c r="F473" t="inlineStr">
        <is>
          <t>SKÅNE LÄN</t>
        </is>
      </c>
      <c r="G473" t="inlineStr">
        <is>
          <t>ÖSTRA GÖINGE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46266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46266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46266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46266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46266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46266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46266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46266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46266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46266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46266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46266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46266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46266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46266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46266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46266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2026-09-01T02:07:54Z</dcterms:created>
  <dcterms:modified xmlns:dcterms="http://purl.org/dc/terms/" xmlns:xsi="http://www.w3.org/2001/XMLSchema-instance" xsi:type="dcterms:W3CDTF">2026-09-01T02:07:54Z</dcterms:modified>
</cp:coreProperties>
</file>