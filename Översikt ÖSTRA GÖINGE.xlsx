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46283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46283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46283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46283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46283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46283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46283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46283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46283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46283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46283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46283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46283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46283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Pulverädellav
Havstulpanlav</t>
        </is>
      </c>
      <c r="W21">
        <f>HYPERLINK("https://klasma.github.io/Logging_1256/artfynd/A 34389-2024 artfynd.xlsx", "A 34389-2024")</f>
        <v/>
      </c>
      <c r="X21">
        <f>HYPERLINK("https://klasma.github.io/Logging_1256/kartor/A 34389-2024 karta.png", "A 34389-2024")</f>
        <v/>
      </c>
      <c r="Y21">
        <f>HYPERLINK("https://klasma.github.io/Logging_1256/kartor_geotiff/A 34389-2024 georefererad karta.tif", "A 34389-2024")</f>
        <v/>
      </c>
      <c r="AA21">
        <f>HYPERLINK("https://klasma.github.io/Logging_1256/klagomål/A 34389-2024 FSC-klagomål.docx", "A 34389-2024")</f>
        <v/>
      </c>
      <c r="AB21">
        <f>HYPERLINK("https://klasma.github.io/Logging_1256/klagomålsmail/A 34389-2024 FSC-klagomål mail.docx", "A 34389-2024")</f>
        <v/>
      </c>
      <c r="AC21">
        <f>HYPERLINK("https://klasma.github.io/Logging_1256/tillsyn/A 34389-2024 tillsynsbegäran.docx", "A 34389-2024")</f>
        <v/>
      </c>
      <c r="AD21">
        <f>HYPERLINK("https://klasma.github.io/Logging_1256/tillsynsmail/A 34389-2024 tillsynsbegäran mail.docx", "A 34389-2024")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46283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46283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46283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46283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46283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46283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46283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46283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46283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46283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46283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46283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46283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46283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46283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45359-2023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46283</v>
      </c>
      <c r="F41" t="inlineStr">
        <is>
          <t>SKÅNE LÄN</t>
        </is>
      </c>
      <c r="G41" t="inlineStr">
        <is>
          <t>ÖSTRA GÖINGE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HYPERLINK("https://klasma.github.io/Logging_1256/artfynd/A 45359-2023 artfynd.xlsx", "A 45359-2023")</f>
        <v/>
      </c>
      <c r="X41">
        <f>HYPERLINK("https://klasma.github.io/Logging_1256/kartor/A 45359-2023 karta.png", "A 45359-2023")</f>
        <v/>
      </c>
      <c r="Y41">
        <f>HYPERLINK("https://klasma.github.io/Logging_1256/kartor_geotiff/A 45359-2023 georefererad karta.tif", "A 45359-2023")</f>
        <v/>
      </c>
      <c r="AA41">
        <f>HYPERLINK("https://klasma.github.io/Logging_1256/klagomål/A 45359-2023 FSC-klagomål.docx", "A 45359-2023")</f>
        <v/>
      </c>
      <c r="AB41">
        <f>HYPERLINK("https://klasma.github.io/Logging_1256/klagomålsmail/A 45359-2023 FSC-klagomål mail.docx", "A 45359-2023")</f>
        <v/>
      </c>
      <c r="AC41">
        <f>HYPERLINK("https://klasma.github.io/Logging_1256/tillsyn/A 45359-2023 tillsynsbegäran.docx", "A 45359-2023")</f>
        <v/>
      </c>
      <c r="AD41">
        <f>HYPERLINK("https://klasma.github.io/Logging_1256/tillsynsmail/A 45359-2023 tillsynsbegäran mail.docx", "A 45359-2023")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46283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46283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46283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46283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6152-2024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46283</v>
      </c>
      <c r="F46" t="inlineStr">
        <is>
          <t>SKÅNE LÄN</t>
        </is>
      </c>
      <c r="G46" t="inlineStr">
        <is>
          <t>ÖSTRA GÖINGE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HYPERLINK("https://klasma.github.io/Logging_1256/artfynd/A 6152-2024 artfynd.xlsx", "A 6152-2024")</f>
        <v/>
      </c>
      <c r="X46">
        <f>HYPERLINK("https://klasma.github.io/Logging_1256/kartor/A 6152-2024 karta.png", "A 6152-2024")</f>
        <v/>
      </c>
      <c r="Y46">
        <f>HYPERLINK("https://klasma.github.io/Logging_1256/kartor_geotiff/A 6152-2024 georefererad karta.tif", "A 6152-2024")</f>
        <v/>
      </c>
      <c r="AA46">
        <f>HYPERLINK("https://klasma.github.io/Logging_1256/klagomål/A 6152-2024 FSC-klagomål.docx", "A 6152-2024")</f>
        <v/>
      </c>
      <c r="AB46">
        <f>HYPERLINK("https://klasma.github.io/Logging_1256/klagomålsmail/A 6152-2024 FSC-klagomål mail.docx", "A 6152-2024")</f>
        <v/>
      </c>
      <c r="AC46">
        <f>HYPERLINK("https://klasma.github.io/Logging_1256/tillsyn/A 6152-2024 tillsynsbegäran.docx", "A 6152-2024")</f>
        <v/>
      </c>
      <c r="AD46">
        <f>HYPERLINK("https://klasma.github.io/Logging_1256/tillsynsmail/A 6152-2024 tillsynsbegäran mail.docx", "A 6152-2024")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46283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46283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35526-2025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45856</v>
      </c>
      <c r="E49" s="1" t="n">
        <v>46283</v>
      </c>
      <c r="F49" t="inlineStr">
        <is>
          <t>SKÅNE LÄN</t>
        </is>
      </c>
      <c r="G49" t="inlineStr">
        <is>
          <t>ÖSTRA GÖINGE</t>
        </is>
      </c>
      <c r="I49" t="n">
        <v>4.2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Bokvårtlav</t>
        </is>
      </c>
      <c r="W49">
        <f>HYPERLINK("https://klasma.github.io/Logging_1256/artfynd/A 35526-2025 artfynd.xlsx", "A 35526-2025")</f>
        <v/>
      </c>
      <c r="X49">
        <f>HYPERLINK("https://klasma.github.io/Logging_1256/kartor/A 35526-2025 karta.png", "A 35526-2025")</f>
        <v/>
      </c>
      <c r="Y49">
        <f>HYPERLINK("https://klasma.github.io/Logging_1256/kartor_geotiff/A 35526-2025 georefererad karta.tif", "A 35526-2025")</f>
        <v/>
      </c>
      <c r="AA49">
        <f>HYPERLINK("https://klasma.github.io/Logging_1256/klagomål/A 35526-2025 FSC-klagomål.docx", "A 35526-2025")</f>
        <v/>
      </c>
      <c r="AB49">
        <f>HYPERLINK("https://klasma.github.io/Logging_1256/klagomålsmail/A 35526-2025 FSC-klagomål mail.docx", "A 35526-2025")</f>
        <v/>
      </c>
      <c r="AC49">
        <f>HYPERLINK("https://klasma.github.io/Logging_1256/tillsyn/A 35526-2025 tillsynsbegäran.docx", "A 35526-2025")</f>
        <v/>
      </c>
      <c r="AD49">
        <f>HYPERLINK("https://klasma.github.io/Logging_1256/tillsynsmail/A 35526-2025 tillsynsbegäran mail.docx", "A 35526-2025")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46283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46283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46283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46283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46283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46283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46283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46283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46283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46283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46283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46283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46283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46283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46283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46283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46283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46283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46283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46283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46283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46283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46283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46283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46283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46283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46283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46283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46283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46283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46283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46283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46283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46283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46283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46283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46283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46283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46283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46283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46283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46283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46283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46283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46283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46283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46283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46283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46283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46283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46283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46283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46283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46283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46283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46283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46283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46283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46283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46283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46283</v>
      </c>
      <c r="F112" t="inlineStr">
        <is>
          <t>SKÅNE LÄN</t>
        </is>
      </c>
      <c r="G112" t="inlineStr">
        <is>
          <t>ÖSTRA GÖINGE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45410</v>
      </c>
      <c r="E113" s="1" t="n">
        <v>46283</v>
      </c>
      <c r="F113" t="inlineStr">
        <is>
          <t>SKÅNE LÄN</t>
        </is>
      </c>
      <c r="G113" t="inlineStr">
        <is>
          <t>ÖSTRA GÖINGE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46283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46283</v>
      </c>
      <c r="F115" t="inlineStr">
        <is>
          <t>SKÅNE LÄN</t>
        </is>
      </c>
      <c r="G115" t="inlineStr">
        <is>
          <t>ÖSTRA GÖINGE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34649-2023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45139</v>
      </c>
      <c r="E116" s="1" t="n">
        <v>46283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46283</v>
      </c>
      <c r="F117" t="inlineStr">
        <is>
          <t>SKÅNE LÄN</t>
        </is>
      </c>
      <c r="G117" t="inlineStr">
        <is>
          <t>ÖSTRA GÖINGE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46283</v>
      </c>
      <c r="F118" t="inlineStr">
        <is>
          <t>SKÅNE LÄN</t>
        </is>
      </c>
      <c r="G118" t="inlineStr">
        <is>
          <t>ÖSTRA GÖINGE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46283</v>
      </c>
      <c r="F119" t="inlineStr">
        <is>
          <t>SKÅNE LÄN</t>
        </is>
      </c>
      <c r="G119" t="inlineStr">
        <is>
          <t>ÖSTRA GÖINGE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46283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46283</v>
      </c>
      <c r="F121" t="inlineStr">
        <is>
          <t>SKÅNE LÄN</t>
        </is>
      </c>
      <c r="G121" t="inlineStr">
        <is>
          <t>ÖSTRA GÖINGE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46283</v>
      </c>
      <c r="F122" t="inlineStr">
        <is>
          <t>SKÅNE LÄN</t>
        </is>
      </c>
      <c r="G122" t="inlineStr">
        <is>
          <t>ÖSTRA GÖINGE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52930-2021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46283</v>
      </c>
      <c r="F123" t="inlineStr">
        <is>
          <t>SKÅNE LÄN</t>
        </is>
      </c>
      <c r="G123" t="inlineStr">
        <is>
          <t>ÖSTRA GÖINGE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46283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45278</v>
      </c>
      <c r="E125" s="1" t="n">
        <v>46283</v>
      </c>
      <c r="F125" t="inlineStr">
        <is>
          <t>SKÅNE LÄN</t>
        </is>
      </c>
      <c r="G125" t="inlineStr">
        <is>
          <t>ÖSTRA GÖINGE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44845</v>
      </c>
      <c r="E126" s="1" t="n">
        <v>46283</v>
      </c>
      <c r="F126" t="inlineStr">
        <is>
          <t>SKÅNE LÄN</t>
        </is>
      </c>
      <c r="G126" t="inlineStr">
        <is>
          <t>ÖSTRA GÖINGE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69375-2021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46283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46283</v>
      </c>
      <c r="F128" t="inlineStr">
        <is>
          <t>SKÅNE LÄN</t>
        </is>
      </c>
      <c r="G128" t="inlineStr">
        <is>
          <t>ÖSTRA GÖINGE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44992</v>
      </c>
      <c r="E129" s="1" t="n">
        <v>46283</v>
      </c>
      <c r="F129" t="inlineStr">
        <is>
          <t>SKÅNE LÄN</t>
        </is>
      </c>
      <c r="G129" t="inlineStr">
        <is>
          <t>ÖSTRA GÖINGE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46283</v>
      </c>
      <c r="F130" t="inlineStr">
        <is>
          <t>SKÅNE LÄN</t>
        </is>
      </c>
      <c r="G130" t="inlineStr">
        <is>
          <t>ÖSTRA GÖINGE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46283</v>
      </c>
      <c r="F131" t="inlineStr">
        <is>
          <t>SKÅNE LÄN</t>
        </is>
      </c>
      <c r="G131" t="inlineStr">
        <is>
          <t>ÖSTRA GÖINGE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46283</v>
      </c>
      <c r="F132" t="inlineStr">
        <is>
          <t>SKÅNE LÄN</t>
        </is>
      </c>
      <c r="G132" t="inlineStr">
        <is>
          <t>ÖSTRA GÖINGE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46283</v>
      </c>
      <c r="F133" t="inlineStr">
        <is>
          <t>SKÅNE LÄN</t>
        </is>
      </c>
      <c r="G133" t="inlineStr">
        <is>
          <t>ÖSTRA GÖINGE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46283</v>
      </c>
      <c r="F134" t="inlineStr">
        <is>
          <t>SKÅNE LÄN</t>
        </is>
      </c>
      <c r="G134" t="inlineStr">
        <is>
          <t>ÖSTRA GÖINGE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74142-2021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46283</v>
      </c>
      <c r="F135" t="inlineStr">
        <is>
          <t>SKÅNE LÄN</t>
        </is>
      </c>
      <c r="G135" t="inlineStr">
        <is>
          <t>ÖSTRA GÖINGE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46283</v>
      </c>
      <c r="F136" t="inlineStr">
        <is>
          <t>SKÅNE LÄN</t>
        </is>
      </c>
      <c r="G136" t="inlineStr">
        <is>
          <t>ÖSTRA GÖINGE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46283</v>
      </c>
      <c r="F137" t="inlineStr">
        <is>
          <t>SKÅNE LÄN</t>
        </is>
      </c>
      <c r="G137" t="inlineStr">
        <is>
          <t>ÖSTRA GÖINGE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46283</v>
      </c>
      <c r="F138" t="inlineStr">
        <is>
          <t>SKÅNE LÄN</t>
        </is>
      </c>
      <c r="G138" t="inlineStr">
        <is>
          <t>ÖSTRA GÖINGE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45408</v>
      </c>
      <c r="E139" s="1" t="n">
        <v>46283</v>
      </c>
      <c r="F139" t="inlineStr">
        <is>
          <t>SKÅNE LÄN</t>
        </is>
      </c>
      <c r="G139" t="inlineStr">
        <is>
          <t>ÖSTRA GÖINGE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46283</v>
      </c>
      <c r="F140" t="inlineStr">
        <is>
          <t>SKÅNE LÄN</t>
        </is>
      </c>
      <c r="G140" t="inlineStr">
        <is>
          <t>ÖSTRA GÖINGE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46283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46283</v>
      </c>
      <c r="F142" t="inlineStr">
        <is>
          <t>SKÅNE LÄN</t>
        </is>
      </c>
      <c r="G142" t="inlineStr">
        <is>
          <t>ÖSTRA GÖINGE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46283</v>
      </c>
      <c r="F143" t="inlineStr">
        <is>
          <t>SKÅNE LÄN</t>
        </is>
      </c>
      <c r="G143" t="inlineStr">
        <is>
          <t>ÖSTRA GÖINGE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46283</v>
      </c>
      <c r="F144" t="inlineStr">
        <is>
          <t>SKÅNE LÄN</t>
        </is>
      </c>
      <c r="G144" t="inlineStr">
        <is>
          <t>ÖSTRA GÖINGE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46283</v>
      </c>
      <c r="F145" t="inlineStr">
        <is>
          <t>SKÅNE LÄN</t>
        </is>
      </c>
      <c r="G145" t="inlineStr">
        <is>
          <t>ÖSTRA GÖINGE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46283</v>
      </c>
      <c r="F146" t="inlineStr">
        <is>
          <t>SKÅNE LÄN</t>
        </is>
      </c>
      <c r="G146" t="inlineStr">
        <is>
          <t>ÖSTRA GÖINGE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46283</v>
      </c>
      <c r="F147" t="inlineStr">
        <is>
          <t>SKÅNE LÄN</t>
        </is>
      </c>
      <c r="G147" t="inlineStr">
        <is>
          <t>ÖSTRA GÖINGE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46283</v>
      </c>
      <c r="F148" t="inlineStr">
        <is>
          <t>SKÅNE LÄN</t>
        </is>
      </c>
      <c r="G148" t="inlineStr">
        <is>
          <t>ÖSTRA GÖINGE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46283</v>
      </c>
      <c r="F149" t="inlineStr">
        <is>
          <t>SKÅNE LÄN</t>
        </is>
      </c>
      <c r="G149" t="inlineStr">
        <is>
          <t>ÖSTRA GÖINGE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46283</v>
      </c>
      <c r="F150" t="inlineStr">
        <is>
          <t>SKÅNE LÄN</t>
        </is>
      </c>
      <c r="G150" t="inlineStr">
        <is>
          <t>ÖSTRA GÖINGE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46283</v>
      </c>
      <c r="F151" t="inlineStr">
        <is>
          <t>SKÅNE LÄN</t>
        </is>
      </c>
      <c r="G151" t="inlineStr">
        <is>
          <t>ÖSTRA GÖINGE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46283</v>
      </c>
      <c r="F152" t="inlineStr">
        <is>
          <t>SKÅNE LÄN</t>
        </is>
      </c>
      <c r="G152" t="inlineStr">
        <is>
          <t>ÖSTRA GÖINGE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46283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46283</v>
      </c>
      <c r="F154" t="inlineStr">
        <is>
          <t>SKÅNE LÄN</t>
        </is>
      </c>
      <c r="G154" t="inlineStr">
        <is>
          <t>ÖSTRA GÖINGE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46283</v>
      </c>
      <c r="F155" t="inlineStr">
        <is>
          <t>SKÅNE LÄN</t>
        </is>
      </c>
      <c r="G155" t="inlineStr">
        <is>
          <t>ÖSTRA GÖINGE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46283</v>
      </c>
      <c r="F156" t="inlineStr">
        <is>
          <t>SKÅNE LÄN</t>
        </is>
      </c>
      <c r="G156" t="inlineStr">
        <is>
          <t>ÖSTRA GÖINGE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46283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46283</v>
      </c>
      <c r="F158" t="inlineStr">
        <is>
          <t>SKÅNE LÄN</t>
        </is>
      </c>
      <c r="G158" t="inlineStr">
        <is>
          <t>ÖSTRA GÖINGE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45856</v>
      </c>
      <c r="E159" s="1" t="n">
        <v>46283</v>
      </c>
      <c r="F159" t="inlineStr">
        <is>
          <t>SKÅNE LÄN</t>
        </is>
      </c>
      <c r="G159" t="inlineStr">
        <is>
          <t>ÖSTRA GÖINGE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45856</v>
      </c>
      <c r="E160" s="1" t="n">
        <v>46283</v>
      </c>
      <c r="F160" t="inlineStr">
        <is>
          <t>SKÅNE LÄN</t>
        </is>
      </c>
      <c r="G160" t="inlineStr">
        <is>
          <t>ÖSTRA GÖINGE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46283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46283</v>
      </c>
      <c r="F162" t="inlineStr">
        <is>
          <t>SKÅNE LÄN</t>
        </is>
      </c>
      <c r="G162" t="inlineStr">
        <is>
          <t>ÖSTRA GÖINGE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46283</v>
      </c>
      <c r="F163" t="inlineStr">
        <is>
          <t>SKÅNE LÄN</t>
        </is>
      </c>
      <c r="G163" t="inlineStr">
        <is>
          <t>ÖSTRA GÖINGE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34931-2023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45142</v>
      </c>
      <c r="E164" s="1" t="n">
        <v>46283</v>
      </c>
      <c r="F164" t="inlineStr">
        <is>
          <t>SKÅNE LÄN</t>
        </is>
      </c>
      <c r="G164" t="inlineStr">
        <is>
          <t>ÖSTRA GÖINGE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44930</v>
      </c>
      <c r="E165" s="1" t="n">
        <v>46283</v>
      </c>
      <c r="F165" t="inlineStr">
        <is>
          <t>SKÅNE LÄN</t>
        </is>
      </c>
      <c r="G165" t="inlineStr">
        <is>
          <t>ÖSTRA GÖINGE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46283</v>
      </c>
      <c r="F166" t="inlineStr">
        <is>
          <t>SKÅNE LÄN</t>
        </is>
      </c>
      <c r="G166" t="inlineStr">
        <is>
          <t>ÖSTRA GÖINGE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46283</v>
      </c>
      <c r="F167" t="inlineStr">
        <is>
          <t>SKÅNE LÄN</t>
        </is>
      </c>
      <c r="G167" t="inlineStr">
        <is>
          <t>ÖSTRA GÖINGE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46283</v>
      </c>
      <c r="F168" t="inlineStr">
        <is>
          <t>SKÅNE LÄN</t>
        </is>
      </c>
      <c r="G168" t="inlineStr">
        <is>
          <t>ÖSTRA GÖINGE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44489</v>
      </c>
      <c r="E169" s="1" t="n">
        <v>46283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46283</v>
      </c>
      <c r="F170" t="inlineStr">
        <is>
          <t>SKÅNE LÄN</t>
        </is>
      </c>
      <c r="G170" t="inlineStr">
        <is>
          <t>ÖSTRA GÖINGE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46283</v>
      </c>
      <c r="F171" t="inlineStr">
        <is>
          <t>SKÅNE LÄN</t>
        </is>
      </c>
      <c r="G171" t="inlineStr">
        <is>
          <t>ÖSTRA GÖINGE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45848</v>
      </c>
      <c r="E172" s="1" t="n">
        <v>46283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36324-2022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44803</v>
      </c>
      <c r="E173" s="1" t="n">
        <v>46283</v>
      </c>
      <c r="F173" t="inlineStr">
        <is>
          <t>SKÅNE LÄN</t>
        </is>
      </c>
      <c r="G173" t="inlineStr">
        <is>
          <t>ÖSTRA GÖINGE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46283</v>
      </c>
      <c r="F174" t="inlineStr">
        <is>
          <t>SKÅNE LÄN</t>
        </is>
      </c>
      <c r="G174" t="inlineStr">
        <is>
          <t>ÖSTRA GÖINGE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46283</v>
      </c>
      <c r="F175" t="inlineStr">
        <is>
          <t>SKÅNE LÄN</t>
        </is>
      </c>
      <c r="G175" t="inlineStr">
        <is>
          <t>ÖSTRA GÖINGE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46283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46283</v>
      </c>
      <c r="F177" t="inlineStr">
        <is>
          <t>SKÅNE LÄN</t>
        </is>
      </c>
      <c r="G177" t="inlineStr">
        <is>
          <t>ÖSTRA GÖINGE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46283</v>
      </c>
      <c r="F178" t="inlineStr">
        <is>
          <t>SKÅNE LÄN</t>
        </is>
      </c>
      <c r="G178" t="inlineStr">
        <is>
          <t>ÖSTRA GÖINGE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46283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46283</v>
      </c>
      <c r="F180" t="inlineStr">
        <is>
          <t>SKÅNE LÄN</t>
        </is>
      </c>
      <c r="G180" t="inlineStr">
        <is>
          <t>ÖSTRA GÖINGE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46283</v>
      </c>
      <c r="F181" t="inlineStr">
        <is>
          <t>SKÅNE LÄN</t>
        </is>
      </c>
      <c r="G181" t="inlineStr">
        <is>
          <t>ÖSTRA GÖINGE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46283</v>
      </c>
      <c r="F182" t="inlineStr">
        <is>
          <t>SKÅNE LÄN</t>
        </is>
      </c>
      <c r="G182" t="inlineStr">
        <is>
          <t>ÖSTRA GÖINGE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46283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46283</v>
      </c>
      <c r="F184" t="inlineStr">
        <is>
          <t>SKÅNE LÄN</t>
        </is>
      </c>
      <c r="G184" t="inlineStr">
        <is>
          <t>ÖSTRA GÖINGE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35547-2023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45146</v>
      </c>
      <c r="E185" s="1" t="n">
        <v>46283</v>
      </c>
      <c r="F185" t="inlineStr">
        <is>
          <t>SKÅNE LÄN</t>
        </is>
      </c>
      <c r="G185" t="inlineStr">
        <is>
          <t>ÖSTRA GÖINGE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46283</v>
      </c>
      <c r="F186" t="inlineStr">
        <is>
          <t>SKÅNE LÄN</t>
        </is>
      </c>
      <c r="G186" t="inlineStr">
        <is>
          <t>ÖSTRA GÖINGE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46283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44896</v>
      </c>
      <c r="E188" s="1" t="n">
        <v>46283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46283</v>
      </c>
      <c r="F189" t="inlineStr">
        <is>
          <t>SKÅNE LÄN</t>
        </is>
      </c>
      <c r="G189" t="inlineStr">
        <is>
          <t>ÖSTRA GÖINGE</t>
        </is>
      </c>
      <c r="H189" t="inlineStr">
        <is>
          <t>Kyrkan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45896</v>
      </c>
      <c r="E190" s="1" t="n">
        <v>46283</v>
      </c>
      <c r="F190" t="inlineStr">
        <is>
          <t>SKÅNE LÄN</t>
        </is>
      </c>
      <c r="G190" t="inlineStr">
        <is>
          <t>ÖSTRA GÖINGE</t>
        </is>
      </c>
      <c r="H190" t="inlineStr">
        <is>
          <t>Kyrkan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46283</v>
      </c>
      <c r="F191" t="inlineStr">
        <is>
          <t>SKÅNE LÄN</t>
        </is>
      </c>
      <c r="G191" t="inlineStr">
        <is>
          <t>ÖSTRA GÖINGE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46132</v>
      </c>
      <c r="E192" s="1" t="n">
        <v>46283</v>
      </c>
      <c r="F192" t="inlineStr">
        <is>
          <t>SKÅNE LÄN</t>
        </is>
      </c>
      <c r="G192" t="inlineStr">
        <is>
          <t>ÖSTRA GÖINGE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46283</v>
      </c>
      <c r="F193" t="inlineStr">
        <is>
          <t>SKÅNE LÄN</t>
        </is>
      </c>
      <c r="G193" t="inlineStr">
        <is>
          <t>ÖSTRA GÖINGE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46283</v>
      </c>
      <c r="F194" t="inlineStr">
        <is>
          <t>SKÅNE LÄN</t>
        </is>
      </c>
      <c r="G194" t="inlineStr">
        <is>
          <t>ÖSTRA GÖINGE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46283</v>
      </c>
      <c r="F195" t="inlineStr">
        <is>
          <t>SKÅNE LÄN</t>
        </is>
      </c>
      <c r="G195" t="inlineStr">
        <is>
          <t>ÖSTRA GÖINGE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46283</v>
      </c>
      <c r="F196" t="inlineStr">
        <is>
          <t>SKÅNE LÄN</t>
        </is>
      </c>
      <c r="G196" t="inlineStr">
        <is>
          <t>ÖSTRA GÖINGE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46132</v>
      </c>
      <c r="E197" s="1" t="n">
        <v>46283</v>
      </c>
      <c r="F197" t="inlineStr">
        <is>
          <t>SKÅNE LÄN</t>
        </is>
      </c>
      <c r="G197" t="inlineStr">
        <is>
          <t>ÖSTRA GÖINGE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46283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46133</v>
      </c>
      <c r="E199" s="1" t="n">
        <v>46283</v>
      </c>
      <c r="F199" t="inlineStr">
        <is>
          <t>SKÅNE LÄN</t>
        </is>
      </c>
      <c r="G199" t="inlineStr">
        <is>
          <t>ÖSTRA GÖINGE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46283</v>
      </c>
      <c r="F200" t="inlineStr">
        <is>
          <t>SKÅNE LÄN</t>
        </is>
      </c>
      <c r="G200" t="inlineStr">
        <is>
          <t>ÖSTRA GÖINGE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46283</v>
      </c>
      <c r="F201" t="inlineStr">
        <is>
          <t>SKÅNE LÄN</t>
        </is>
      </c>
      <c r="G201" t="inlineStr">
        <is>
          <t>ÖSTRA GÖINGE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46283</v>
      </c>
      <c r="F202" t="inlineStr">
        <is>
          <t>SKÅNE LÄN</t>
        </is>
      </c>
      <c r="G202" t="inlineStr">
        <is>
          <t>ÖSTRA GÖINGE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46283</v>
      </c>
      <c r="F203" t="inlineStr">
        <is>
          <t>SKÅNE LÄN</t>
        </is>
      </c>
      <c r="G203" t="inlineStr">
        <is>
          <t>ÖSTRA GÖINGE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46283</v>
      </c>
      <c r="F204" t="inlineStr">
        <is>
          <t>SKÅNE LÄN</t>
        </is>
      </c>
      <c r="G204" t="inlineStr">
        <is>
          <t>ÖSTRA GÖINGE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46283</v>
      </c>
      <c r="F205" t="inlineStr">
        <is>
          <t>SKÅNE LÄN</t>
        </is>
      </c>
      <c r="G205" t="inlineStr">
        <is>
          <t>ÖSTRA GÖINGE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45147</v>
      </c>
      <c r="E206" s="1" t="n">
        <v>46283</v>
      </c>
      <c r="F206" t="inlineStr">
        <is>
          <t>SKÅNE LÄN</t>
        </is>
      </c>
      <c r="G206" t="inlineStr">
        <is>
          <t>ÖSTRA GÖINGE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46283</v>
      </c>
      <c r="F207" t="inlineStr">
        <is>
          <t>SKÅNE LÄN</t>
        </is>
      </c>
      <c r="G207" t="inlineStr">
        <is>
          <t>ÖSTRA GÖINGE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36919-2025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45874</v>
      </c>
      <c r="E208" s="1" t="n">
        <v>46283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46283</v>
      </c>
      <c r="F209" t="inlineStr">
        <is>
          <t>SKÅNE LÄN</t>
        </is>
      </c>
      <c r="G209" t="inlineStr">
        <is>
          <t>ÖSTRA GÖINGE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46283</v>
      </c>
      <c r="F210" t="inlineStr">
        <is>
          <t>SKÅNE LÄN</t>
        </is>
      </c>
      <c r="G210" t="inlineStr">
        <is>
          <t>ÖSTRA GÖINGE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46283</v>
      </c>
      <c r="F211" t="inlineStr">
        <is>
          <t>SKÅNE LÄN</t>
        </is>
      </c>
      <c r="G211" t="inlineStr">
        <is>
          <t>ÖSTRA GÖINGE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46283</v>
      </c>
      <c r="F212" t="inlineStr">
        <is>
          <t>SKÅNE LÄN</t>
        </is>
      </c>
      <c r="G212" t="inlineStr">
        <is>
          <t>ÖSTRA GÖINGE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45939</v>
      </c>
      <c r="E213" s="1" t="n">
        <v>46283</v>
      </c>
      <c r="F213" t="inlineStr">
        <is>
          <t>SKÅNE LÄN</t>
        </is>
      </c>
      <c r="G213" t="inlineStr">
        <is>
          <t>ÖSTRA GÖINGE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44826</v>
      </c>
      <c r="E214" s="1" t="n">
        <v>46283</v>
      </c>
      <c r="F214" t="inlineStr">
        <is>
          <t>SKÅNE LÄN</t>
        </is>
      </c>
      <c r="G214" t="inlineStr">
        <is>
          <t>ÖSTRA GÖINGE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46283</v>
      </c>
      <c r="F215" t="inlineStr">
        <is>
          <t>SKÅNE LÄN</t>
        </is>
      </c>
      <c r="G215" t="inlineStr">
        <is>
          <t>ÖSTRA GÖINGE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46283</v>
      </c>
      <c r="F216" t="inlineStr">
        <is>
          <t>SKÅNE LÄN</t>
        </is>
      </c>
      <c r="G216" t="inlineStr">
        <is>
          <t>ÖSTRA GÖINGE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46283</v>
      </c>
      <c r="F217" t="inlineStr">
        <is>
          <t>SKÅNE LÄN</t>
        </is>
      </c>
      <c r="G217" t="inlineStr">
        <is>
          <t>ÖSTRA GÖINGE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46283</v>
      </c>
      <c r="F218" t="inlineStr">
        <is>
          <t>SKÅNE LÄN</t>
        </is>
      </c>
      <c r="G218" t="inlineStr">
        <is>
          <t>ÖSTRA GÖINGE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50896-2021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44460</v>
      </c>
      <c r="E219" s="1" t="n">
        <v>46283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44459</v>
      </c>
      <c r="E220" s="1" t="n">
        <v>46283</v>
      </c>
      <c r="F220" t="inlineStr">
        <is>
          <t>SKÅNE LÄN</t>
        </is>
      </c>
      <c r="G220" t="inlineStr">
        <is>
          <t>ÖSTRA GÖINGE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55140-2022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44886</v>
      </c>
      <c r="E221" s="1" t="n">
        <v>46283</v>
      </c>
      <c r="F221" t="inlineStr">
        <is>
          <t>SKÅNE LÄN</t>
        </is>
      </c>
      <c r="G221" t="inlineStr">
        <is>
          <t>ÖSTRA GÖINGE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45198</v>
      </c>
      <c r="E222" s="1" t="n">
        <v>46283</v>
      </c>
      <c r="F222" t="inlineStr">
        <is>
          <t>SKÅNE LÄN</t>
        </is>
      </c>
      <c r="G222" t="inlineStr">
        <is>
          <t>ÖSTRA GÖINGE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45539</v>
      </c>
      <c r="E223" s="1" t="n">
        <v>46283</v>
      </c>
      <c r="F223" t="inlineStr">
        <is>
          <t>SKÅNE LÄN</t>
        </is>
      </c>
      <c r="G223" t="inlineStr">
        <is>
          <t>ÖSTRA GÖINGE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45583</v>
      </c>
      <c r="E224" s="1" t="n">
        <v>46283</v>
      </c>
      <c r="F224" t="inlineStr">
        <is>
          <t>SKÅNE LÄN</t>
        </is>
      </c>
      <c r="G224" t="inlineStr">
        <is>
          <t>ÖSTRA GÖINGE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46283</v>
      </c>
      <c r="F225" t="inlineStr">
        <is>
          <t>SKÅNE LÄN</t>
        </is>
      </c>
      <c r="G225" t="inlineStr">
        <is>
          <t>ÖSTRA GÖINGE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46283</v>
      </c>
      <c r="F226" t="inlineStr">
        <is>
          <t>SKÅNE LÄN</t>
        </is>
      </c>
      <c r="G226" t="inlineStr">
        <is>
          <t>ÖSTRA GÖINGE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46283</v>
      </c>
      <c r="F227" t="inlineStr">
        <is>
          <t>SKÅNE LÄN</t>
        </is>
      </c>
      <c r="G227" t="inlineStr">
        <is>
          <t>ÖSTRA GÖINGE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46283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46283</v>
      </c>
      <c r="F229" t="inlineStr">
        <is>
          <t>SKÅNE LÄN</t>
        </is>
      </c>
      <c r="G229" t="inlineStr">
        <is>
          <t>ÖSTRA GÖINGE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45069</v>
      </c>
      <c r="E230" s="1" t="n">
        <v>46283</v>
      </c>
      <c r="F230" t="inlineStr">
        <is>
          <t>SKÅNE LÄN</t>
        </is>
      </c>
      <c r="G230" t="inlineStr">
        <is>
          <t>ÖSTRA GÖINGE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46283</v>
      </c>
      <c r="F231" t="inlineStr">
        <is>
          <t>SKÅNE LÄN</t>
        </is>
      </c>
      <c r="G231" t="inlineStr">
        <is>
          <t>ÖSTRA GÖINGE</t>
        </is>
      </c>
      <c r="I231" t="n">
        <v>12.8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44929</v>
      </c>
      <c r="E232" s="1" t="n">
        <v>46283</v>
      </c>
      <c r="F232" t="inlineStr">
        <is>
          <t>SKÅNE LÄN</t>
        </is>
      </c>
      <c r="G232" t="inlineStr">
        <is>
          <t>ÖSTRA GÖINGE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46283</v>
      </c>
      <c r="F233" t="inlineStr">
        <is>
          <t>SKÅNE LÄN</t>
        </is>
      </c>
      <c r="G233" t="inlineStr">
        <is>
          <t>ÖSTRA GÖINGE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46283</v>
      </c>
      <c r="F234" t="inlineStr">
        <is>
          <t>SKÅNE LÄN</t>
        </is>
      </c>
      <c r="G234" t="inlineStr">
        <is>
          <t>ÖSTRA GÖINGE</t>
        </is>
      </c>
      <c r="I234" t="n">
        <v>10.4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46283</v>
      </c>
      <c r="F235" t="inlineStr">
        <is>
          <t>SKÅNE LÄN</t>
        </is>
      </c>
      <c r="G235" t="inlineStr">
        <is>
          <t>ÖSTRA GÖINGE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44459</v>
      </c>
      <c r="E236" s="1" t="n">
        <v>46283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46283</v>
      </c>
      <c r="F237" t="inlineStr">
        <is>
          <t>SKÅNE LÄN</t>
        </is>
      </c>
      <c r="G237" t="inlineStr">
        <is>
          <t>ÖSTRA GÖINGE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21260-2026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46147</v>
      </c>
      <c r="E238" s="1" t="n">
        <v>46283</v>
      </c>
      <c r="F238" t="inlineStr">
        <is>
          <t>SKÅNE LÄN</t>
        </is>
      </c>
      <c r="G238" t="inlineStr">
        <is>
          <t>ÖSTRA GÖINGE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69384-2021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44531</v>
      </c>
      <c r="E239" s="1" t="n">
        <v>46283</v>
      </c>
      <c r="F239" t="inlineStr">
        <is>
          <t>SKÅNE LÄN</t>
        </is>
      </c>
      <c r="G239" t="inlineStr">
        <is>
          <t>ÖSTRA GÖINGE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60780-2022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44914</v>
      </c>
      <c r="E240" s="1" t="n">
        <v>46283</v>
      </c>
      <c r="F240" t="inlineStr">
        <is>
          <t>SKÅNE LÄN</t>
        </is>
      </c>
      <c r="G240" t="inlineStr">
        <is>
          <t>ÖSTRA GÖINGE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46283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29285-2023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46283</v>
      </c>
      <c r="F242" t="inlineStr">
        <is>
          <t>SKÅNE LÄN</t>
        </is>
      </c>
      <c r="G242" t="inlineStr">
        <is>
          <t>ÖSTRA GÖINGE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46283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71741-2021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44539</v>
      </c>
      <c r="E244" s="1" t="n">
        <v>46283</v>
      </c>
      <c r="F244" t="inlineStr">
        <is>
          <t>SKÅNE LÄN</t>
        </is>
      </c>
      <c r="G244" t="inlineStr">
        <is>
          <t>ÖSTRA GÖINGE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46283</v>
      </c>
      <c r="F245" t="inlineStr">
        <is>
          <t>SKÅNE LÄN</t>
        </is>
      </c>
      <c r="G245" t="inlineStr">
        <is>
          <t>ÖSTRA GÖINGE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45935</v>
      </c>
      <c r="E246" s="1" t="n">
        <v>46283</v>
      </c>
      <c r="F246" t="inlineStr">
        <is>
          <t>SKÅNE LÄN</t>
        </is>
      </c>
      <c r="G246" t="inlineStr">
        <is>
          <t>ÖSTRA GÖINGE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45015</v>
      </c>
      <c r="E247" s="1" t="n">
        <v>46283</v>
      </c>
      <c r="F247" t="inlineStr">
        <is>
          <t>SKÅNE LÄN</t>
        </is>
      </c>
      <c r="G247" t="inlineStr">
        <is>
          <t>ÖSTRA GÖINGE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46283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45078</v>
      </c>
      <c r="E249" s="1" t="n">
        <v>46283</v>
      </c>
      <c r="F249" t="inlineStr">
        <is>
          <t>SKÅNE LÄN</t>
        </is>
      </c>
      <c r="G249" t="inlineStr">
        <is>
          <t>ÖSTRA GÖINGE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46283</v>
      </c>
      <c r="F250" t="inlineStr">
        <is>
          <t>SKÅNE LÄN</t>
        </is>
      </c>
      <c r="G250" t="inlineStr">
        <is>
          <t>ÖSTRA GÖINGE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46283</v>
      </c>
      <c r="F251" t="inlineStr">
        <is>
          <t>SKÅNE LÄN</t>
        </is>
      </c>
      <c r="G251" t="inlineStr">
        <is>
          <t>ÖSTRA GÖINGE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45807</v>
      </c>
      <c r="E252" s="1" t="n">
        <v>46283</v>
      </c>
      <c r="F252" t="inlineStr">
        <is>
          <t>SKÅNE LÄN</t>
        </is>
      </c>
      <c r="G252" t="inlineStr">
        <is>
          <t>ÖSTRA GÖINGE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46283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45733</v>
      </c>
      <c r="E254" s="1" t="n">
        <v>46283</v>
      </c>
      <c r="F254" t="inlineStr">
        <is>
          <t>SKÅNE LÄN</t>
        </is>
      </c>
      <c r="G254" t="inlineStr">
        <is>
          <t>ÖSTRA GÖINGE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55716-2024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45622</v>
      </c>
      <c r="E255" s="1" t="n">
        <v>46283</v>
      </c>
      <c r="F255" t="inlineStr">
        <is>
          <t>SKÅNE LÄN</t>
        </is>
      </c>
      <c r="G255" t="inlineStr">
        <is>
          <t>ÖSTRA GÖINGE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45574</v>
      </c>
      <c r="E256" s="1" t="n">
        <v>46283</v>
      </c>
      <c r="F256" t="inlineStr">
        <is>
          <t>SKÅNE LÄN</t>
        </is>
      </c>
      <c r="G256" t="inlineStr">
        <is>
          <t>ÖSTRA GÖINGE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46283</v>
      </c>
      <c r="F257" t="inlineStr">
        <is>
          <t>SKÅNE LÄN</t>
        </is>
      </c>
      <c r="G257" t="inlineStr">
        <is>
          <t>ÖSTRA GÖINGE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45142</v>
      </c>
      <c r="E258" s="1" t="n">
        <v>46283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46283</v>
      </c>
      <c r="F259" t="inlineStr">
        <is>
          <t>SKÅNE LÄN</t>
        </is>
      </c>
      <c r="G259" t="inlineStr">
        <is>
          <t>ÖSTRA GÖINGE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46283</v>
      </c>
      <c r="F260" t="inlineStr">
        <is>
          <t>SKÅNE LÄN</t>
        </is>
      </c>
      <c r="G260" t="inlineStr">
        <is>
          <t>ÖSTRA GÖINGE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46283</v>
      </c>
      <c r="F261" t="inlineStr">
        <is>
          <t>SKÅNE LÄN</t>
        </is>
      </c>
      <c r="G261" t="inlineStr">
        <is>
          <t>ÖSTRA GÖINGE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46283</v>
      </c>
      <c r="F262" t="inlineStr">
        <is>
          <t>SKÅNE LÄN</t>
        </is>
      </c>
      <c r="G262" t="inlineStr">
        <is>
          <t>ÖSTRA GÖINGE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45331</v>
      </c>
      <c r="E263" s="1" t="n">
        <v>46283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46163</v>
      </c>
      <c r="E264" s="1" t="n">
        <v>46283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45029</v>
      </c>
      <c r="E265" s="1" t="n">
        <v>46283</v>
      </c>
      <c r="F265" t="inlineStr">
        <is>
          <t>SKÅNE LÄN</t>
        </is>
      </c>
      <c r="G265" t="inlineStr">
        <is>
          <t>ÖSTRA GÖINGE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46167</v>
      </c>
      <c r="E266" s="1" t="n">
        <v>46283</v>
      </c>
      <c r="F266" t="inlineStr">
        <is>
          <t>SKÅNE LÄN</t>
        </is>
      </c>
      <c r="G266" t="inlineStr">
        <is>
          <t>ÖSTRA GÖINGE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46283</v>
      </c>
      <c r="F267" t="inlineStr">
        <is>
          <t>SKÅNE LÄN</t>
        </is>
      </c>
      <c r="G267" t="inlineStr">
        <is>
          <t>ÖSTRA GÖINGE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46283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45538</v>
      </c>
      <c r="E269" s="1" t="n">
        <v>46283</v>
      </c>
      <c r="F269" t="inlineStr">
        <is>
          <t>SKÅNE LÄN</t>
        </is>
      </c>
      <c r="G269" t="inlineStr">
        <is>
          <t>ÖSTRA GÖINGE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46283</v>
      </c>
      <c r="F270" t="inlineStr">
        <is>
          <t>SKÅNE LÄN</t>
        </is>
      </c>
      <c r="G270" t="inlineStr">
        <is>
          <t>ÖSTRA GÖINGE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44585</v>
      </c>
      <c r="E271" s="1" t="n">
        <v>46283</v>
      </c>
      <c r="F271" t="inlineStr">
        <is>
          <t>SKÅNE LÄN</t>
        </is>
      </c>
      <c r="G271" t="inlineStr">
        <is>
          <t>ÖSTRA GÖINGE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46283</v>
      </c>
      <c r="F272" t="inlineStr">
        <is>
          <t>SKÅNE LÄN</t>
        </is>
      </c>
      <c r="G272" t="inlineStr">
        <is>
          <t>ÖSTRA GÖINGE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46283</v>
      </c>
      <c r="F273" t="inlineStr">
        <is>
          <t>SKÅNE LÄN</t>
        </is>
      </c>
      <c r="G273" t="inlineStr">
        <is>
          <t>ÖSTRA GÖINGE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46283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46283</v>
      </c>
      <c r="F275" t="inlineStr">
        <is>
          <t>SKÅNE LÄN</t>
        </is>
      </c>
      <c r="G275" t="inlineStr">
        <is>
          <t>ÖSTRA GÖINGE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46283</v>
      </c>
      <c r="F276" t="inlineStr">
        <is>
          <t>SKÅNE LÄN</t>
        </is>
      </c>
      <c r="G276" t="inlineStr">
        <is>
          <t>ÖSTRA GÖINGE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46176</v>
      </c>
      <c r="E277" s="1" t="n">
        <v>46283</v>
      </c>
      <c r="F277" t="inlineStr">
        <is>
          <t>SKÅNE LÄN</t>
        </is>
      </c>
      <c r="G277" t="inlineStr">
        <is>
          <t>ÖSTRA GÖINGE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44977</v>
      </c>
      <c r="E278" s="1" t="n">
        <v>46283</v>
      </c>
      <c r="F278" t="inlineStr">
        <is>
          <t>SKÅNE LÄN</t>
        </is>
      </c>
      <c r="G278" t="inlineStr">
        <is>
          <t>ÖSTRA GÖINGE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46283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45139</v>
      </c>
      <c r="E280" s="1" t="n">
        <v>46283</v>
      </c>
      <c r="F280" t="inlineStr">
        <is>
          <t>SKÅNE LÄN</t>
        </is>
      </c>
      <c r="G280" t="inlineStr">
        <is>
          <t>ÖSTRA GÖINGE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45117</v>
      </c>
      <c r="E281" s="1" t="n">
        <v>46283</v>
      </c>
      <c r="F281" t="inlineStr">
        <is>
          <t>SKÅNE LÄN</t>
        </is>
      </c>
      <c r="G281" t="inlineStr">
        <is>
          <t>ÖSTRA GÖINGE</t>
        </is>
      </c>
      <c r="H281" t="inlineStr">
        <is>
          <t>Sveaskog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46283</v>
      </c>
      <c r="F282" t="inlineStr">
        <is>
          <t>SKÅNE LÄN</t>
        </is>
      </c>
      <c r="G282" t="inlineStr">
        <is>
          <t>ÖSTRA GÖINGE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44953</v>
      </c>
      <c r="E283" s="1" t="n">
        <v>46283</v>
      </c>
      <c r="F283" t="inlineStr">
        <is>
          <t>SKÅNE LÄN</t>
        </is>
      </c>
      <c r="G283" t="inlineStr">
        <is>
          <t>ÖSTRA GÖINGE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26467-2026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46182</v>
      </c>
      <c r="E284" s="1" t="n">
        <v>46283</v>
      </c>
      <c r="F284" t="inlineStr">
        <is>
          <t>SKÅNE LÄN</t>
        </is>
      </c>
      <c r="G284" t="inlineStr">
        <is>
          <t>ÖSTRA GÖINGE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46283</v>
      </c>
      <c r="F285" t="inlineStr">
        <is>
          <t>SKÅNE LÄN</t>
        </is>
      </c>
      <c r="G285" t="inlineStr">
        <is>
          <t>ÖSTRA GÖINGE</t>
        </is>
      </c>
      <c r="I285" t="n">
        <v>34.5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46283</v>
      </c>
      <c r="F286" t="inlineStr">
        <is>
          <t>SKÅNE LÄN</t>
        </is>
      </c>
      <c r="G286" t="inlineStr">
        <is>
          <t>ÖSTRA GÖINGE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45138</v>
      </c>
      <c r="E287" s="1" t="n">
        <v>46283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69387-2021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46283</v>
      </c>
      <c r="F288" t="inlineStr">
        <is>
          <t>SKÅNE LÄN</t>
        </is>
      </c>
      <c r="G288" t="inlineStr">
        <is>
          <t>ÖSTRA GÖINGE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46283</v>
      </c>
      <c r="F289" t="inlineStr">
        <is>
          <t>SKÅNE LÄN</t>
        </is>
      </c>
      <c r="G289" t="inlineStr">
        <is>
          <t>ÖSTRA GÖINGE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46283</v>
      </c>
      <c r="F290" t="inlineStr">
        <is>
          <t>SKÅNE LÄN</t>
        </is>
      </c>
      <c r="G290" t="inlineStr">
        <is>
          <t>ÖSTRA GÖINGE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45541</v>
      </c>
      <c r="E291" s="1" t="n">
        <v>46283</v>
      </c>
      <c r="F291" t="inlineStr">
        <is>
          <t>SKÅNE LÄN</t>
        </is>
      </c>
      <c r="G291" t="inlineStr">
        <is>
          <t>ÖSTRA GÖINGE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46283</v>
      </c>
      <c r="F292" t="inlineStr">
        <is>
          <t>SKÅNE LÄN</t>
        </is>
      </c>
      <c r="G292" t="inlineStr">
        <is>
          <t>ÖSTRA GÖINGE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46279-2024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45581</v>
      </c>
      <c r="E293" s="1" t="n">
        <v>46283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54749-2025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46283</v>
      </c>
      <c r="F294" t="inlineStr">
        <is>
          <t>SKÅNE LÄN</t>
        </is>
      </c>
      <c r="G294" t="inlineStr">
        <is>
          <t>ÖSTRA GÖINGE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61137-2024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46283</v>
      </c>
      <c r="F295" t="inlineStr">
        <is>
          <t>SKÅNE LÄN</t>
        </is>
      </c>
      <c r="G295" t="inlineStr">
        <is>
          <t>ÖSTRA GÖINGE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46283</v>
      </c>
      <c r="F296" t="inlineStr">
        <is>
          <t>SKÅNE LÄN</t>
        </is>
      </c>
      <c r="G296" t="inlineStr">
        <is>
          <t>ÖSTRA GÖINGE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45321</v>
      </c>
      <c r="E297" s="1" t="n">
        <v>46283</v>
      </c>
      <c r="F297" t="inlineStr">
        <is>
          <t>SKÅNE LÄN</t>
        </is>
      </c>
      <c r="G297" t="inlineStr">
        <is>
          <t>ÖSTRA GÖINGE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46283</v>
      </c>
      <c r="F298" t="inlineStr">
        <is>
          <t>SKÅNE LÄN</t>
        </is>
      </c>
      <c r="G298" t="inlineStr">
        <is>
          <t>ÖSTRA GÖINGE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46283</v>
      </c>
      <c r="F299" t="inlineStr">
        <is>
          <t>SKÅNE LÄN</t>
        </is>
      </c>
      <c r="G299" t="inlineStr">
        <is>
          <t>ÖSTRA GÖINGE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45569</v>
      </c>
      <c r="E300" s="1" t="n">
        <v>46283</v>
      </c>
      <c r="F300" t="inlineStr">
        <is>
          <t>SKÅNE LÄN</t>
        </is>
      </c>
      <c r="G300" t="inlineStr">
        <is>
          <t>ÖSTRA GÖINGE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45970</v>
      </c>
      <c r="E301" s="1" t="n">
        <v>46283</v>
      </c>
      <c r="F301" t="inlineStr">
        <is>
          <t>SKÅNE LÄN</t>
        </is>
      </c>
      <c r="G301" t="inlineStr">
        <is>
          <t>ÖSTRA GÖINGE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45686</v>
      </c>
      <c r="E302" s="1" t="n">
        <v>46283</v>
      </c>
      <c r="F302" t="inlineStr">
        <is>
          <t>SKÅNE LÄN</t>
        </is>
      </c>
      <c r="G302" t="inlineStr">
        <is>
          <t>ÖSTRA GÖINGE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46283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10497-2022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46283</v>
      </c>
      <c r="F304" t="inlineStr">
        <is>
          <t>SKÅNE LÄN</t>
        </is>
      </c>
      <c r="G304" t="inlineStr">
        <is>
          <t>ÖSTRA GÖINGE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23402-2023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46283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46283</v>
      </c>
      <c r="F306" t="inlineStr">
        <is>
          <t>SKÅNE LÄN</t>
        </is>
      </c>
      <c r="G306" t="inlineStr">
        <is>
          <t>ÖSTRA GÖINGE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46283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46283</v>
      </c>
      <c r="F308" t="inlineStr">
        <is>
          <t>SKÅNE LÄN</t>
        </is>
      </c>
      <c r="G308" t="inlineStr">
        <is>
          <t>ÖSTRA GÖINGE</t>
        </is>
      </c>
      <c r="H308" t="inlineStr">
        <is>
          <t>Sveaskog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46283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46283</v>
      </c>
      <c r="F310" t="inlineStr">
        <is>
          <t>SKÅNE LÄN</t>
        </is>
      </c>
      <c r="G310" t="inlineStr">
        <is>
          <t>ÖSTRA GÖINGE</t>
        </is>
      </c>
      <c r="H310" t="inlineStr">
        <is>
          <t>Sveaskog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45172</v>
      </c>
      <c r="E311" s="1" t="n">
        <v>46283</v>
      </c>
      <c r="F311" t="inlineStr">
        <is>
          <t>SKÅNE LÄN</t>
        </is>
      </c>
      <c r="G311" t="inlineStr">
        <is>
          <t>ÖSTRA GÖINGE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46283</v>
      </c>
      <c r="F312" t="inlineStr">
        <is>
          <t>SKÅNE LÄN</t>
        </is>
      </c>
      <c r="G312" t="inlineStr">
        <is>
          <t>ÖSTRA GÖINGE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46241</v>
      </c>
      <c r="E313" s="1" t="n">
        <v>46283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46283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46283</v>
      </c>
      <c r="F315" t="inlineStr">
        <is>
          <t>SKÅNE LÄN</t>
        </is>
      </c>
      <c r="G315" t="inlineStr">
        <is>
          <t>ÖSTRA GÖINGE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46283</v>
      </c>
      <c r="F316" t="inlineStr">
        <is>
          <t>SKÅNE LÄN</t>
        </is>
      </c>
      <c r="G316" t="inlineStr">
        <is>
          <t>ÖSTRA GÖINGE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46283</v>
      </c>
      <c r="F317" t="inlineStr">
        <is>
          <t>SKÅNE LÄN</t>
        </is>
      </c>
      <c r="G317" t="inlineStr">
        <is>
          <t>ÖSTRA GÖINGE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46283</v>
      </c>
      <c r="F318" t="inlineStr">
        <is>
          <t>SKÅNE LÄN</t>
        </is>
      </c>
      <c r="G318" t="inlineStr">
        <is>
          <t>ÖSTRA GÖINGE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42192-2023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45179</v>
      </c>
      <c r="E319" s="1" t="n">
        <v>46283</v>
      </c>
      <c r="F319" t="inlineStr">
        <is>
          <t>SKÅNE LÄN</t>
        </is>
      </c>
      <c r="G319" t="inlineStr">
        <is>
          <t>ÖSTRA GÖINGE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46283</v>
      </c>
      <c r="F320" t="inlineStr">
        <is>
          <t>SKÅNE LÄN</t>
        </is>
      </c>
      <c r="G320" t="inlineStr">
        <is>
          <t>ÖSTRA GÖINGE</t>
        </is>
      </c>
      <c r="I320" t="n">
        <v>15.4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46283</v>
      </c>
      <c r="F321" t="inlineStr">
        <is>
          <t>SKÅNE LÄN</t>
        </is>
      </c>
      <c r="G321" t="inlineStr">
        <is>
          <t>ÖSTRA GÖINGE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46248</v>
      </c>
      <c r="E322" s="1" t="n">
        <v>46283</v>
      </c>
      <c r="F322" t="inlineStr">
        <is>
          <t>SKÅNE LÄN</t>
        </is>
      </c>
      <c r="G322" t="inlineStr">
        <is>
          <t>ÖSTRA GÖINGE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46283</v>
      </c>
      <c r="F323" t="inlineStr">
        <is>
          <t>SKÅNE LÄN</t>
        </is>
      </c>
      <c r="G323" t="inlineStr">
        <is>
          <t>ÖSTRA GÖINGE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46283</v>
      </c>
      <c r="F324" t="inlineStr">
        <is>
          <t>SKÅNE LÄN</t>
        </is>
      </c>
      <c r="G324" t="inlineStr">
        <is>
          <t>ÖSTRA GÖINGE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46283</v>
      </c>
      <c r="F325" t="inlineStr">
        <is>
          <t>SKÅNE LÄN</t>
        </is>
      </c>
      <c r="G325" t="inlineStr">
        <is>
          <t>ÖSTRA GÖINGE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45685</v>
      </c>
      <c r="E326" s="1" t="n">
        <v>46283</v>
      </c>
      <c r="F326" t="inlineStr">
        <is>
          <t>SKÅNE LÄN</t>
        </is>
      </c>
      <c r="G326" t="inlineStr">
        <is>
          <t>ÖSTRA GÖINGE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46283</v>
      </c>
      <c r="F327" t="inlineStr">
        <is>
          <t>SKÅNE LÄN</t>
        </is>
      </c>
      <c r="G327" t="inlineStr">
        <is>
          <t>ÖSTRA GÖINGE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45774</v>
      </c>
      <c r="E328" s="1" t="n">
        <v>46283</v>
      </c>
      <c r="F328" t="inlineStr">
        <is>
          <t>SKÅNE LÄN</t>
        </is>
      </c>
      <c r="G328" t="inlineStr">
        <is>
          <t>ÖSTRA GÖINGE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46283</v>
      </c>
      <c r="F329" t="inlineStr">
        <is>
          <t>SKÅNE LÄN</t>
        </is>
      </c>
      <c r="G329" t="inlineStr">
        <is>
          <t>ÖSTRA GÖINGE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30111-2026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46206</v>
      </c>
      <c r="E330" s="1" t="n">
        <v>46283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44686</v>
      </c>
      <c r="E331" s="1" t="n">
        <v>46283</v>
      </c>
      <c r="F331" t="inlineStr">
        <is>
          <t>SKÅNE LÄN</t>
        </is>
      </c>
      <c r="G331" t="inlineStr">
        <is>
          <t>ÖSTRA GÖINGE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44742</v>
      </c>
      <c r="E332" s="1" t="n">
        <v>46283</v>
      </c>
      <c r="F332" t="inlineStr">
        <is>
          <t>SKÅNE LÄN</t>
        </is>
      </c>
      <c r="G332" t="inlineStr">
        <is>
          <t>ÖSTRA GÖINGE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47405-2022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46283</v>
      </c>
      <c r="F333" t="inlineStr">
        <is>
          <t>SKÅNE LÄN</t>
        </is>
      </c>
      <c r="G333" t="inlineStr">
        <is>
          <t>ÖSTRA GÖINGE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46283</v>
      </c>
      <c r="F334" t="inlineStr">
        <is>
          <t>SKÅNE LÄN</t>
        </is>
      </c>
      <c r="G334" t="inlineStr">
        <is>
          <t>ÖSTRA GÖINGE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32514-2023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46283</v>
      </c>
      <c r="F335" t="inlineStr">
        <is>
          <t>SKÅNE LÄN</t>
        </is>
      </c>
      <c r="G335" t="inlineStr">
        <is>
          <t>ÖSTRA GÖINGE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44840</v>
      </c>
      <c r="E336" s="1" t="n">
        <v>46283</v>
      </c>
      <c r="F336" t="inlineStr">
        <is>
          <t>SKÅNE LÄN</t>
        </is>
      </c>
      <c r="G336" t="inlineStr">
        <is>
          <t>ÖSTRA GÖINGE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46283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45203</v>
      </c>
      <c r="E338" s="1" t="n">
        <v>46283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46283</v>
      </c>
      <c r="F339" t="inlineStr">
        <is>
          <t>SKÅNE LÄN</t>
        </is>
      </c>
      <c r="G339" t="inlineStr">
        <is>
          <t>ÖSTRA GÖINGE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46283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46283</v>
      </c>
      <c r="F341" t="inlineStr">
        <is>
          <t>SKÅNE LÄN</t>
        </is>
      </c>
      <c r="G341" t="inlineStr">
        <is>
          <t>ÖSTRA GÖINGE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46283</v>
      </c>
      <c r="F342" t="inlineStr">
        <is>
          <t>SKÅNE LÄN</t>
        </is>
      </c>
      <c r="G342" t="inlineStr">
        <is>
          <t>ÖSTRA GÖINGE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45993</v>
      </c>
      <c r="E343" s="1" t="n">
        <v>46283</v>
      </c>
      <c r="F343" t="inlineStr">
        <is>
          <t>SKÅNE LÄN</t>
        </is>
      </c>
      <c r="G343" t="inlineStr">
        <is>
          <t>ÖSTRA GÖINGE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46283</v>
      </c>
      <c r="F344" t="inlineStr">
        <is>
          <t>SKÅNE LÄN</t>
        </is>
      </c>
      <c r="G344" t="inlineStr">
        <is>
          <t>ÖSTRA GÖINGE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45330</v>
      </c>
      <c r="E345" s="1" t="n">
        <v>46283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45349</v>
      </c>
      <c r="E346" s="1" t="n">
        <v>46283</v>
      </c>
      <c r="F346" t="inlineStr">
        <is>
          <t>SKÅNE LÄN</t>
        </is>
      </c>
      <c r="G346" t="inlineStr">
        <is>
          <t>ÖSTRA GÖINGE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45245</v>
      </c>
      <c r="E347" s="1" t="n">
        <v>46283</v>
      </c>
      <c r="F347" t="inlineStr">
        <is>
          <t>SKÅNE LÄN</t>
        </is>
      </c>
      <c r="G347" t="inlineStr">
        <is>
          <t>ÖSTRA GÖINGE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46283</v>
      </c>
      <c r="F348" t="inlineStr">
        <is>
          <t>SKÅNE LÄN</t>
        </is>
      </c>
      <c r="G348" t="inlineStr">
        <is>
          <t>ÖSTRA GÖINGE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24028-2022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44723</v>
      </c>
      <c r="E349" s="1" t="n">
        <v>46283</v>
      </c>
      <c r="F349" t="inlineStr">
        <is>
          <t>SKÅNE LÄN</t>
        </is>
      </c>
      <c r="G349" t="inlineStr">
        <is>
          <t>ÖSTRA GÖINGE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46283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45310</v>
      </c>
      <c r="E351" s="1" t="n">
        <v>46283</v>
      </c>
      <c r="F351" t="inlineStr">
        <is>
          <t>SKÅNE LÄN</t>
        </is>
      </c>
      <c r="G351" t="inlineStr">
        <is>
          <t>ÖSTRA GÖINGE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46265</v>
      </c>
      <c r="E352" s="1" t="n">
        <v>46283</v>
      </c>
      <c r="F352" t="inlineStr">
        <is>
          <t>SKÅNE LÄN</t>
        </is>
      </c>
      <c r="G352" t="inlineStr">
        <is>
          <t>ÖSTRA GÖINGE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46283</v>
      </c>
      <c r="F353" t="inlineStr">
        <is>
          <t>SKÅNE LÄN</t>
        </is>
      </c>
      <c r="G353" t="inlineStr">
        <is>
          <t>ÖSTRA GÖINGE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45259</v>
      </c>
      <c r="E354" s="1" t="n">
        <v>46283</v>
      </c>
      <c r="F354" t="inlineStr">
        <is>
          <t>SKÅNE LÄN</t>
        </is>
      </c>
      <c r="G354" t="inlineStr">
        <is>
          <t>ÖSTRA GÖINGE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71747-2021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44539</v>
      </c>
      <c r="E355" s="1" t="n">
        <v>46283</v>
      </c>
      <c r="F355" t="inlineStr">
        <is>
          <t>SKÅNE LÄN</t>
        </is>
      </c>
      <c r="G355" t="inlineStr">
        <is>
          <t>ÖSTRA GÖINGE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46283</v>
      </c>
      <c r="F356" t="inlineStr">
        <is>
          <t>SKÅNE LÄN</t>
        </is>
      </c>
      <c r="G356" t="inlineStr">
        <is>
          <t>ÖSTRA GÖINGE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44937</v>
      </c>
      <c r="E357" s="1" t="n">
        <v>46283</v>
      </c>
      <c r="F357" t="inlineStr">
        <is>
          <t>SKÅNE LÄN</t>
        </is>
      </c>
      <c r="G357" t="inlineStr">
        <is>
          <t>ÖSTRA GÖINGE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46283</v>
      </c>
      <c r="F358" t="inlineStr">
        <is>
          <t>SKÅNE LÄN</t>
        </is>
      </c>
      <c r="G358" t="inlineStr">
        <is>
          <t>ÖSTRA GÖINGE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45567</v>
      </c>
      <c r="E359" s="1" t="n">
        <v>46283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34924-2022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44796</v>
      </c>
      <c r="E360" s="1" t="n">
        <v>46283</v>
      </c>
      <c r="F360" t="inlineStr">
        <is>
          <t>SKÅNE LÄN</t>
        </is>
      </c>
      <c r="G360" t="inlineStr">
        <is>
          <t>ÖSTRA GÖINGE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64181-2023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45279</v>
      </c>
      <c r="E361" s="1" t="n">
        <v>46283</v>
      </c>
      <c r="F361" t="inlineStr">
        <is>
          <t>SKÅNE LÄN</t>
        </is>
      </c>
      <c r="G361" t="inlineStr">
        <is>
          <t>ÖSTRA GÖINGE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46283</v>
      </c>
      <c r="F362" t="inlineStr">
        <is>
          <t>SKÅNE LÄN</t>
        </is>
      </c>
      <c r="G362" t="inlineStr">
        <is>
          <t>ÖSTRA GÖINGE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46283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37147-2026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46283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46283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46283</v>
      </c>
      <c r="F366" t="inlineStr">
        <is>
          <t>SKÅNE LÄN</t>
        </is>
      </c>
      <c r="G366" t="inlineStr">
        <is>
          <t>ÖSTRA GÖINGE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66526-2021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44519</v>
      </c>
      <c r="E367" s="1" t="n">
        <v>46283</v>
      </c>
      <c r="F367" t="inlineStr">
        <is>
          <t>SKÅNE LÄN</t>
        </is>
      </c>
      <c r="G367" t="inlineStr">
        <is>
          <t>ÖSTRA GÖINGE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7387-2022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44606</v>
      </c>
      <c r="E368" s="1" t="n">
        <v>46283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44897</v>
      </c>
      <c r="E369" s="1" t="n">
        <v>46283</v>
      </c>
      <c r="F369" t="inlineStr">
        <is>
          <t>SKÅNE LÄN</t>
        </is>
      </c>
      <c r="G369" t="inlineStr">
        <is>
          <t>ÖSTRA GÖINGE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44852</v>
      </c>
      <c r="E370" s="1" t="n">
        <v>46283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44593</v>
      </c>
      <c r="E371" s="1" t="n">
        <v>46283</v>
      </c>
      <c r="F371" t="inlineStr">
        <is>
          <t>SKÅNE LÄN</t>
        </is>
      </c>
      <c r="G371" t="inlineStr">
        <is>
          <t>ÖSTRA GÖINGE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46283</v>
      </c>
      <c r="F372" t="inlineStr">
        <is>
          <t>SKÅNE LÄN</t>
        </is>
      </c>
      <c r="G372" t="inlineStr">
        <is>
          <t>ÖSTRA GÖINGE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46283</v>
      </c>
      <c r="F373" t="inlineStr">
        <is>
          <t>SKÅNE LÄN</t>
        </is>
      </c>
      <c r="G373" t="inlineStr">
        <is>
          <t>ÖSTRA GÖINGE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45475</v>
      </c>
      <c r="E374" s="1" t="n">
        <v>46283</v>
      </c>
      <c r="F374" t="inlineStr">
        <is>
          <t>SKÅNE LÄN</t>
        </is>
      </c>
      <c r="G374" t="inlineStr">
        <is>
          <t>ÖSTRA GÖINGE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46283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46283</v>
      </c>
      <c r="F376" t="inlineStr">
        <is>
          <t>SKÅNE LÄN</t>
        </is>
      </c>
      <c r="G376" t="inlineStr">
        <is>
          <t>ÖSTRA GÖINGE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46283</v>
      </c>
      <c r="F377" t="inlineStr">
        <is>
          <t>SKÅNE LÄN</t>
        </is>
      </c>
      <c r="G377" t="inlineStr">
        <is>
          <t>ÖSTRA GÖINGE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46029</v>
      </c>
      <c r="E378" s="1" t="n">
        <v>46283</v>
      </c>
      <c r="F378" t="inlineStr">
        <is>
          <t>SKÅNE LÄN</t>
        </is>
      </c>
      <c r="G378" t="inlineStr">
        <is>
          <t>ÖSTRA GÖINGE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46283</v>
      </c>
      <c r="F379" t="inlineStr">
        <is>
          <t>SKÅNE LÄN</t>
        </is>
      </c>
      <c r="G379" t="inlineStr">
        <is>
          <t>ÖSTRA GÖINGE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44627</v>
      </c>
      <c r="E380" s="1" t="n">
        <v>46283</v>
      </c>
      <c r="F380" t="inlineStr">
        <is>
          <t>SKÅNE LÄN</t>
        </is>
      </c>
      <c r="G380" t="inlineStr">
        <is>
          <t>ÖSTRA GÖINGE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46283</v>
      </c>
      <c r="F381" t="inlineStr">
        <is>
          <t>SKÅNE LÄN</t>
        </is>
      </c>
      <c r="G381" t="inlineStr">
        <is>
          <t>ÖSTRA GÖINGE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46283</v>
      </c>
      <c r="F382" t="inlineStr">
        <is>
          <t>SKÅNE LÄN</t>
        </is>
      </c>
      <c r="G382" t="inlineStr">
        <is>
          <t>ÖSTRA GÖINGE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44946</v>
      </c>
      <c r="E383" s="1" t="n">
        <v>46283</v>
      </c>
      <c r="F383" t="inlineStr">
        <is>
          <t>SKÅNE LÄN</t>
        </is>
      </c>
      <c r="G383" t="inlineStr">
        <is>
          <t>ÖSTRA GÖINGE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46283</v>
      </c>
      <c r="F384" t="inlineStr">
        <is>
          <t>SKÅNE LÄN</t>
        </is>
      </c>
      <c r="G384" t="inlineStr">
        <is>
          <t>ÖSTRA GÖINGE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34840-2026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46258</v>
      </c>
      <c r="E385" s="1" t="n">
        <v>46283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45188</v>
      </c>
      <c r="E386" s="1" t="n">
        <v>46283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45141</v>
      </c>
      <c r="E387" s="1" t="n">
        <v>46283</v>
      </c>
      <c r="F387" t="inlineStr">
        <is>
          <t>SKÅNE LÄN</t>
        </is>
      </c>
      <c r="G387" t="inlineStr">
        <is>
          <t>ÖSTRA GÖINGE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44602</v>
      </c>
      <c r="E388" s="1" t="n">
        <v>46283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46283</v>
      </c>
      <c r="F389" t="inlineStr">
        <is>
          <t>SKÅNE LÄN</t>
        </is>
      </c>
      <c r="G389" t="inlineStr">
        <is>
          <t>ÖSTRA GÖINGE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46283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46283</v>
      </c>
      <c r="F391" t="inlineStr">
        <is>
          <t>SKÅNE LÄN</t>
        </is>
      </c>
      <c r="G391" t="inlineStr">
        <is>
          <t>ÖSTRA GÖINGE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46283</v>
      </c>
      <c r="F392" t="inlineStr">
        <is>
          <t>SKÅNE LÄN</t>
        </is>
      </c>
      <c r="G392" t="inlineStr">
        <is>
          <t>ÖSTRA GÖINGE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44873</v>
      </c>
      <c r="E393" s="1" t="n">
        <v>46283</v>
      </c>
      <c r="F393" t="inlineStr">
        <is>
          <t>SKÅNE LÄN</t>
        </is>
      </c>
      <c r="G393" t="inlineStr">
        <is>
          <t>ÖSTRA GÖINGE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46283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46042</v>
      </c>
      <c r="E395" s="1" t="n">
        <v>46283</v>
      </c>
      <c r="F395" t="inlineStr">
        <is>
          <t>SKÅNE LÄN</t>
        </is>
      </c>
      <c r="G395" t="inlineStr">
        <is>
          <t>ÖSTRA GÖINGE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46283</v>
      </c>
      <c r="F396" t="inlineStr">
        <is>
          <t>SKÅNE LÄN</t>
        </is>
      </c>
      <c r="G396" t="inlineStr">
        <is>
          <t>ÖSTRA GÖINGE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46283</v>
      </c>
      <c r="F397" t="inlineStr">
        <is>
          <t>SKÅNE LÄN</t>
        </is>
      </c>
      <c r="G397" t="inlineStr">
        <is>
          <t>ÖSTRA GÖINGE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46283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46283</v>
      </c>
      <c r="F399" t="inlineStr">
        <is>
          <t>SKÅNE LÄN</t>
        </is>
      </c>
      <c r="G399" t="inlineStr">
        <is>
          <t>ÖSTRA GÖINGE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46283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46283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45320</v>
      </c>
      <c r="E402" s="1" t="n">
        <v>46283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46283</v>
      </c>
      <c r="F403" t="inlineStr">
        <is>
          <t>SKÅNE LÄN</t>
        </is>
      </c>
      <c r="G403" t="inlineStr">
        <is>
          <t>ÖSTRA GÖINGE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46283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46283</v>
      </c>
      <c r="F405" t="inlineStr">
        <is>
          <t>SKÅNE LÄN</t>
        </is>
      </c>
      <c r="G405" t="inlineStr">
        <is>
          <t>ÖSTRA GÖINGE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46283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52522-2021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44466</v>
      </c>
      <c r="E407" s="1" t="n">
        <v>46283</v>
      </c>
      <c r="F407" t="inlineStr">
        <is>
          <t>SKÅNE LÄN</t>
        </is>
      </c>
      <c r="G407" t="inlineStr">
        <is>
          <t>ÖSTRA GÖINGE</t>
        </is>
      </c>
      <c r="H407" t="inlineStr">
        <is>
          <t>Sveaskog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46283</v>
      </c>
      <c r="F408" t="inlineStr">
        <is>
          <t>SKÅNE LÄN</t>
        </is>
      </c>
      <c r="G408" t="inlineStr">
        <is>
          <t>ÖSTRA GÖINGE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46283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46283</v>
      </c>
      <c r="F410" t="inlineStr">
        <is>
          <t>SKÅNE LÄN</t>
        </is>
      </c>
      <c r="G410" t="inlineStr">
        <is>
          <t>ÖSTRA GÖINGE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45405</v>
      </c>
      <c r="E411" s="1" t="n">
        <v>46283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43447-2024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46283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46283</v>
      </c>
      <c r="F413" t="inlineStr">
        <is>
          <t>SKÅNE LÄN</t>
        </is>
      </c>
      <c r="G413" t="inlineStr">
        <is>
          <t>ÖSTRA GÖINGE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7279-2026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46283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7057-2026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46057</v>
      </c>
      <c r="E415" s="1" t="n">
        <v>46283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46283</v>
      </c>
      <c r="F416" t="inlineStr">
        <is>
          <t>SKÅNE LÄN</t>
        </is>
      </c>
      <c r="G416" t="inlineStr">
        <is>
          <t>ÖSTRA GÖINGE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45021</v>
      </c>
      <c r="E417" s="1" t="n">
        <v>46283</v>
      </c>
      <c r="F417" t="inlineStr">
        <is>
          <t>SKÅNE LÄN</t>
        </is>
      </c>
      <c r="G417" t="inlineStr">
        <is>
          <t>ÖSTRA GÖINGE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5128-2023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44958</v>
      </c>
      <c r="E418" s="1" t="n">
        <v>46283</v>
      </c>
      <c r="F418" t="inlineStr">
        <is>
          <t>SKÅNE LÄN</t>
        </is>
      </c>
      <c r="G418" t="inlineStr">
        <is>
          <t>ÖSTRA GÖINGE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46283</v>
      </c>
      <c r="F419" t="inlineStr">
        <is>
          <t>SKÅNE LÄN</t>
        </is>
      </c>
      <c r="G419" t="inlineStr">
        <is>
          <t>ÖSTRA GÖINGE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37303-2023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46283</v>
      </c>
      <c r="F420" t="inlineStr">
        <is>
          <t>SKÅNE LÄN</t>
        </is>
      </c>
      <c r="G420" t="inlineStr">
        <is>
          <t>ÖSTRA GÖINGE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46283</v>
      </c>
      <c r="F421" t="inlineStr">
        <is>
          <t>SKÅNE LÄN</t>
        </is>
      </c>
      <c r="G421" t="inlineStr">
        <is>
          <t>ÖSTRA GÖINGE</t>
        </is>
      </c>
      <c r="I421" t="n">
        <v>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45765</v>
      </c>
      <c r="E422" s="1" t="n">
        <v>46283</v>
      </c>
      <c r="F422" t="inlineStr">
        <is>
          <t>SKÅNE LÄN</t>
        </is>
      </c>
      <c r="G422" t="inlineStr">
        <is>
          <t>ÖSTRA GÖINGE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11631-2024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45373</v>
      </c>
      <c r="E423" s="1" t="n">
        <v>46283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45331</v>
      </c>
      <c r="E424" s="1" t="n">
        <v>46283</v>
      </c>
      <c r="F424" t="inlineStr">
        <is>
          <t>SKÅNE LÄN</t>
        </is>
      </c>
      <c r="G424" t="inlineStr">
        <is>
          <t>ÖSTRA GÖINGE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46283</v>
      </c>
      <c r="F425" t="inlineStr">
        <is>
          <t>SKÅNE LÄN</t>
        </is>
      </c>
      <c r="G425" t="inlineStr">
        <is>
          <t>ÖSTRA GÖINGE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45321</v>
      </c>
      <c r="E426" s="1" t="n">
        <v>46283</v>
      </c>
      <c r="F426" t="inlineStr">
        <is>
          <t>SKÅNE LÄN</t>
        </is>
      </c>
      <c r="G426" t="inlineStr">
        <is>
          <t>ÖSTRA GÖINGE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48408-2023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45205</v>
      </c>
      <c r="E427" s="1" t="n">
        <v>46283</v>
      </c>
      <c r="F427" t="inlineStr">
        <is>
          <t>SKÅNE LÄN</t>
        </is>
      </c>
      <c r="G427" t="inlineStr">
        <is>
          <t>ÖSTRA GÖINGE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46283</v>
      </c>
      <c r="F428" t="inlineStr">
        <is>
          <t>SKÅNE LÄN</t>
        </is>
      </c>
      <c r="G428" t="inlineStr">
        <is>
          <t>ÖSTRA GÖINGE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46283</v>
      </c>
      <c r="F429" t="inlineStr">
        <is>
          <t>SKÅNE LÄN</t>
        </is>
      </c>
      <c r="G429" t="inlineStr">
        <is>
          <t>ÖSTRA GÖINGE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46283</v>
      </c>
      <c r="F430" t="inlineStr">
        <is>
          <t>SKÅNE LÄN</t>
        </is>
      </c>
      <c r="G430" t="inlineStr">
        <is>
          <t>ÖSTRA GÖINGE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45307</v>
      </c>
      <c r="E431" s="1" t="n">
        <v>46283</v>
      </c>
      <c r="F431" t="inlineStr">
        <is>
          <t>SKÅNE LÄN</t>
        </is>
      </c>
      <c r="G431" t="inlineStr">
        <is>
          <t>ÖSTRA GÖINGE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45680</v>
      </c>
      <c r="E432" s="1" t="n">
        <v>46283</v>
      </c>
      <c r="F432" t="inlineStr">
        <is>
          <t>SKÅNE LÄN</t>
        </is>
      </c>
      <c r="G432" t="inlineStr">
        <is>
          <t>ÖSTRA GÖINGE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44930</v>
      </c>
      <c r="E433" s="1" t="n">
        <v>46283</v>
      </c>
      <c r="F433" t="inlineStr">
        <is>
          <t>SKÅNE LÄN</t>
        </is>
      </c>
      <c r="G433" t="inlineStr">
        <is>
          <t>ÖSTRA GÖINGE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47591-2023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45203</v>
      </c>
      <c r="E434" s="1" t="n">
        <v>46283</v>
      </c>
      <c r="F434" t="inlineStr">
        <is>
          <t>SKÅNE LÄN</t>
        </is>
      </c>
      <c r="G434" t="inlineStr">
        <is>
          <t>ÖSTRA GÖINGE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59328-2023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45252</v>
      </c>
      <c r="E435" s="1" t="n">
        <v>46283</v>
      </c>
      <c r="F435" t="inlineStr">
        <is>
          <t>SKÅNE LÄN</t>
        </is>
      </c>
      <c r="G435" t="inlineStr">
        <is>
          <t>ÖSTRA GÖINGE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45727</v>
      </c>
      <c r="E436" s="1" t="n">
        <v>46283</v>
      </c>
      <c r="F436" t="inlineStr">
        <is>
          <t>SKÅNE LÄN</t>
        </is>
      </c>
      <c r="G436" t="inlineStr">
        <is>
          <t>ÖSTRA GÖINGE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45562</v>
      </c>
      <c r="E437" s="1" t="n">
        <v>46283</v>
      </c>
      <c r="F437" t="inlineStr">
        <is>
          <t>SKÅNE LÄN</t>
        </is>
      </c>
      <c r="G437" t="inlineStr">
        <is>
          <t>ÖSTRA GÖINGE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45176</v>
      </c>
      <c r="E438" s="1" t="n">
        <v>46283</v>
      </c>
      <c r="F438" t="inlineStr">
        <is>
          <t>SKÅNE LÄN</t>
        </is>
      </c>
      <c r="G438" t="inlineStr">
        <is>
          <t>ÖSTRA GÖINGE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46283</v>
      </c>
      <c r="F439" t="inlineStr">
        <is>
          <t>SKÅNE LÄN</t>
        </is>
      </c>
      <c r="G439" t="inlineStr">
        <is>
          <t>ÖSTRA GÖINGE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46283</v>
      </c>
      <c r="F440" t="inlineStr">
        <is>
          <t>SKÅNE LÄN</t>
        </is>
      </c>
      <c r="G440" t="inlineStr">
        <is>
          <t>ÖSTRA GÖINGE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46283</v>
      </c>
      <c r="F441" t="inlineStr">
        <is>
          <t>SKÅNE LÄN</t>
        </is>
      </c>
      <c r="G441" t="inlineStr">
        <is>
          <t>ÖSTRA GÖINGE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45489</v>
      </c>
      <c r="E442" s="1" t="n">
        <v>46283</v>
      </c>
      <c r="F442" t="inlineStr">
        <is>
          <t>SKÅNE LÄN</t>
        </is>
      </c>
      <c r="G442" t="inlineStr">
        <is>
          <t>ÖSTRA GÖINGE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45638</v>
      </c>
      <c r="E443" s="1" t="n">
        <v>46283</v>
      </c>
      <c r="F443" t="inlineStr">
        <is>
          <t>SKÅNE LÄN</t>
        </is>
      </c>
      <c r="G443" t="inlineStr">
        <is>
          <t>ÖSTRA GÖINGE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46283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45022</v>
      </c>
      <c r="E445" s="1" t="n">
        <v>46283</v>
      </c>
      <c r="F445" t="inlineStr">
        <is>
          <t>SKÅNE LÄN</t>
        </is>
      </c>
      <c r="G445" t="inlineStr">
        <is>
          <t>ÖSTRA GÖINGE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46283</v>
      </c>
      <c r="F446" t="inlineStr">
        <is>
          <t>SKÅNE LÄN</t>
        </is>
      </c>
      <c r="G446" t="inlineStr">
        <is>
          <t>ÖSTRA GÖINGE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45699</v>
      </c>
      <c r="E447" s="1" t="n">
        <v>46283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45686</v>
      </c>
      <c r="E448" s="1" t="n">
        <v>46283</v>
      </c>
      <c r="F448" t="inlineStr">
        <is>
          <t>SKÅNE LÄN</t>
        </is>
      </c>
      <c r="G448" t="inlineStr">
        <is>
          <t>ÖSTRA GÖINGE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46283</v>
      </c>
      <c r="F449" t="inlineStr">
        <is>
          <t>SKÅNE LÄN</t>
        </is>
      </c>
      <c r="G449" t="inlineStr">
        <is>
          <t>ÖSTRA GÖINGE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46283</v>
      </c>
      <c r="F450" t="inlineStr">
        <is>
          <t>SKÅNE LÄN</t>
        </is>
      </c>
      <c r="G450" t="inlineStr">
        <is>
          <t>ÖSTRA GÖINGE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45797</v>
      </c>
      <c r="E451" s="1" t="n">
        <v>46283</v>
      </c>
      <c r="F451" t="inlineStr">
        <is>
          <t>SKÅNE LÄN</t>
        </is>
      </c>
      <c r="G451" t="inlineStr">
        <is>
          <t>ÖSTRA GÖINGE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46283</v>
      </c>
      <c r="F452" t="inlineStr">
        <is>
          <t>SKÅNE LÄN</t>
        </is>
      </c>
      <c r="G452" t="inlineStr">
        <is>
          <t>ÖSTRA GÖINGE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46283</v>
      </c>
      <c r="F453" t="inlineStr">
        <is>
          <t>SKÅNE LÄN</t>
        </is>
      </c>
      <c r="G453" t="inlineStr">
        <is>
          <t>ÖSTRA GÖINGE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46283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1043-2022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44613</v>
      </c>
      <c r="E455" s="1" t="n">
        <v>46283</v>
      </c>
      <c r="F455" t="inlineStr">
        <is>
          <t>SKÅNE LÄN</t>
        </is>
      </c>
      <c r="G455" t="inlineStr">
        <is>
          <t>ÖSTRA GÖINGE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46283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46283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2143-2022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44676</v>
      </c>
      <c r="E458" s="1" t="n">
        <v>46283</v>
      </c>
      <c r="F458" t="inlineStr">
        <is>
          <t>SKÅNE LÄN</t>
        </is>
      </c>
      <c r="G458" t="inlineStr">
        <is>
          <t>ÖSTRA GÖINGE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444-2022</t>
        </is>
      </c>
      <c r="B459" t="inlineStr">
        <is>
          <t>samrådsanmälan</t>
        </is>
      </c>
      <c r="C459" t="inlineStr">
        <is>
          <t>Åtgärd i nyckelbiotop</t>
        </is>
      </c>
      <c r="D459" s="1" t="n">
        <v>44586</v>
      </c>
      <c r="E459" s="1" t="n">
        <v>46283</v>
      </c>
      <c r="F459" t="inlineStr">
        <is>
          <t>SKÅNE LÄN</t>
        </is>
      </c>
      <c r="G459" t="inlineStr">
        <is>
          <t>ÖSTRA GÖINGE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450-2022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46283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45301</v>
      </c>
      <c r="E461" s="1" t="n">
        <v>46283</v>
      </c>
      <c r="F461" t="inlineStr">
        <is>
          <t>SKÅNE LÄN</t>
        </is>
      </c>
      <c r="G461" t="inlineStr">
        <is>
          <t>ÖSTRA GÖINGE</t>
        </is>
      </c>
      <c r="I461" t="n">
        <v>53.6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2502-2023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45124</v>
      </c>
      <c r="E462" s="1" t="n">
        <v>46283</v>
      </c>
      <c r="F462" t="inlineStr">
        <is>
          <t>SKÅNE LÄN</t>
        </is>
      </c>
      <c r="G462" t="inlineStr">
        <is>
          <t>ÖSTRA GÖINGE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376-2024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46283</v>
      </c>
      <c r="F463" t="inlineStr">
        <is>
          <t>SKÅNE LÄN</t>
        </is>
      </c>
      <c r="G463" t="inlineStr">
        <is>
          <t>ÖSTRA GÖINGE</t>
        </is>
      </c>
      <c r="I463" t="n">
        <v>43.3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371-2024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46283</v>
      </c>
      <c r="F464" t="inlineStr">
        <is>
          <t>SKÅNE LÄN</t>
        </is>
      </c>
      <c r="G464" t="inlineStr">
        <is>
          <t>ÖSTRA GÖINGE</t>
        </is>
      </c>
      <c r="I464" t="n">
        <v>19.2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642-2023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44973</v>
      </c>
      <c r="E465" s="1" t="n">
        <v>46283</v>
      </c>
      <c r="F465" t="inlineStr">
        <is>
          <t>SKÅNE LÄN</t>
        </is>
      </c>
      <c r="G465" t="inlineStr">
        <is>
          <t>ÖSTRA GÖINGE</t>
        </is>
      </c>
      <c r="I465" t="n">
        <v>20.4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573-2024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46283</v>
      </c>
      <c r="F466" t="inlineStr">
        <is>
          <t>SKÅNE LÄN</t>
        </is>
      </c>
      <c r="G466" t="inlineStr">
        <is>
          <t>ÖSTRA GÖINGE</t>
        </is>
      </c>
      <c r="I466" t="n">
        <v>24.3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3997-2024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45569</v>
      </c>
      <c r="E467" s="1" t="n">
        <v>46283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568-2024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45350</v>
      </c>
      <c r="E468" s="1" t="n">
        <v>46283</v>
      </c>
      <c r="F468" t="inlineStr">
        <is>
          <t>SKÅNE LÄN</t>
        </is>
      </c>
      <c r="G468" t="inlineStr">
        <is>
          <t>ÖSTRA GÖINGE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46283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46283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46283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5662-2022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44841</v>
      </c>
      <c r="E472" s="1" t="n">
        <v>46283</v>
      </c>
      <c r="F472" t="inlineStr">
        <is>
          <t>SKÅNE LÄN</t>
        </is>
      </c>
      <c r="G472" t="inlineStr">
        <is>
          <t>ÖSTRA GÖINGE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3566-2023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45202</v>
      </c>
      <c r="E473" s="1" t="n">
        <v>46283</v>
      </c>
      <c r="F473" t="inlineStr">
        <is>
          <t>SKÅNE LÄN</t>
        </is>
      </c>
      <c r="G473" t="inlineStr">
        <is>
          <t>ÖSTRA GÖINGE</t>
        </is>
      </c>
      <c r="I473" t="n">
        <v>24.5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5137-2024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45645</v>
      </c>
      <c r="E474" s="1" t="n">
        <v>46283</v>
      </c>
      <c r="F474" t="inlineStr">
        <is>
          <t>SKÅNE LÄN</t>
        </is>
      </c>
      <c r="G474" t="inlineStr">
        <is>
          <t>ÖSTRA GÖINGE</t>
        </is>
      </c>
      <c r="I474" t="n">
        <v>48.8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5026-2024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45635</v>
      </c>
      <c r="E475" s="1" t="n">
        <v>46283</v>
      </c>
      <c r="F475" t="inlineStr">
        <is>
          <t>SKÅNE LÄN</t>
        </is>
      </c>
      <c r="G475" t="inlineStr">
        <is>
          <t>ÖSTRA GÖINGE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3730-2022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44742</v>
      </c>
      <c r="E476" s="1" t="n">
        <v>46283</v>
      </c>
      <c r="F476" t="inlineStr">
        <is>
          <t>SKÅNE LÄN</t>
        </is>
      </c>
      <c r="G476" t="inlineStr">
        <is>
          <t>ÖSTRA GÖINGE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3484-2023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45205</v>
      </c>
      <c r="E477" s="1" t="n">
        <v>46283</v>
      </c>
      <c r="F477" t="inlineStr">
        <is>
          <t>SKÅNE LÄN</t>
        </is>
      </c>
      <c r="G477" t="inlineStr">
        <is>
          <t>ÖSTRA GÖINGE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46283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46283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46283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46283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46283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46283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46283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46283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46283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46283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46283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46283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46283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46283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46283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46283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46283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2026-09-18T02:00:56Z</dcterms:created>
  <dcterms:modified xmlns:dcterms="http://purl.org/dc/terms/" xmlns:xsi="http://www.w3.org/2001/XMLSchema-instance" xsi:type="dcterms:W3CDTF">2026-09-18T02:00:57Z</dcterms:modified>
</cp:coreProperties>
</file>