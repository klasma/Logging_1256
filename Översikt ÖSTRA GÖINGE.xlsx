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46262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46262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46262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46262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46262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46262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46262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46262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46262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46262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46262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46262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46262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46262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46262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46262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46262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46262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46262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37585-2024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45541</v>
      </c>
      <c r="E27" s="1" t="n">
        <v>46262</v>
      </c>
      <c r="F27" t="inlineStr">
        <is>
          <t>SKÅNE LÄN</t>
        </is>
      </c>
      <c r="G27" t="inlineStr">
        <is>
          <t>ÖSTRA GÖINGE</t>
        </is>
      </c>
      <c r="I27" t="n">
        <v>22.7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Gullklöver
Fläcknycklar</t>
        </is>
      </c>
      <c r="W27">
        <f>HYPERLINK("https://klasma.github.io/Logging_1256/artfynd/A 37585-2024 artfynd.xlsx", "A 37585-2024")</f>
        <v/>
      </c>
      <c r="X27">
        <f>HYPERLINK("https://klasma.github.io/Logging_1256/kartor/A 37585-2024 karta.png", "A 37585-2024")</f>
        <v/>
      </c>
      <c r="Y27">
        <f>HYPERLINK("https://klasma.github.io/Logging_1256/kartor_geotiff/A 37585-2024 georefererad karta.tif", "A 37585-2024")</f>
        <v/>
      </c>
      <c r="AA27">
        <f>HYPERLINK("https://klasma.github.io/Logging_1256/klagomål/A 37585-2024 FSC-klagomål.docx", "A 37585-2024")</f>
        <v/>
      </c>
      <c r="AB27">
        <f>HYPERLINK("https://klasma.github.io/Logging_1256/klagomålsmail/A 37585-2024 FSC-klagomål mail.docx", "A 37585-2024")</f>
        <v/>
      </c>
      <c r="AC27">
        <f>HYPERLINK("https://klasma.github.io/Logging_1256/tillsyn/A 37585-2024 tillsynsbegäran.docx", "A 37585-2024")</f>
        <v/>
      </c>
      <c r="AD27">
        <f>HYPERLINK("https://klasma.github.io/Logging_1256/tillsynsmail/A 37585-2024 tillsynsbegäran mail.docx", "A 37585-2024")</f>
        <v/>
      </c>
    </row>
    <row r="28" ht="15" customHeight="1">
      <c r="A28" t="inlineStr">
        <is>
          <t>A 34389-2024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45525</v>
      </c>
      <c r="E28" s="1" t="n">
        <v>46262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Pulverädellav
Havstulpanlav</t>
        </is>
      </c>
      <c r="W28">
        <f>HYPERLINK("https://klasma.github.io/Logging_1256/artfynd/A 34389-2024 artfynd.xlsx", "A 34389-2024")</f>
        <v/>
      </c>
      <c r="X28">
        <f>HYPERLINK("https://klasma.github.io/Logging_1256/kartor/A 34389-2024 karta.png", "A 34389-2024")</f>
        <v/>
      </c>
      <c r="Y28">
        <f>HYPERLINK("https://klasma.github.io/Logging_1256/kartor_geotiff/A 34389-2024 georefererad karta.tif", "A 34389-2024")</f>
        <v/>
      </c>
      <c r="AA28">
        <f>HYPERLINK("https://klasma.github.io/Logging_1256/klagomål/A 34389-2024 FSC-klagomål.docx", "A 34389-2024")</f>
        <v/>
      </c>
      <c r="AB28">
        <f>HYPERLINK("https://klasma.github.io/Logging_1256/klagomålsmail/A 34389-2024 FSC-klagomål mail.docx", "A 34389-2024")</f>
        <v/>
      </c>
      <c r="AC28">
        <f>HYPERLINK("https://klasma.github.io/Logging_1256/tillsyn/A 34389-2024 tillsynsbegäran.docx", "A 34389-2024")</f>
        <v/>
      </c>
      <c r="AD28">
        <f>HYPERLINK("https://klasma.github.io/Logging_1256/tillsynsmail/A 34389-2024 tillsynsbegäran mail.docx", "A 34389-2024")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46262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46262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46262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46262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46262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46262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46262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34344-2025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45846</v>
      </c>
      <c r="E43" s="1" t="n">
        <v>46262</v>
      </c>
      <c r="F43" t="inlineStr">
        <is>
          <t>SKÅNE LÄN</t>
        </is>
      </c>
      <c r="G43" t="inlineStr">
        <is>
          <t>ÖSTRA GÖINGE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Huggorm</t>
        </is>
      </c>
      <c r="W43">
        <f>HYPERLINK("https://klasma.github.io/Logging_1256/artfynd/A 34344-2025 artfynd.xlsx", "A 34344-2025")</f>
        <v/>
      </c>
      <c r="X43">
        <f>HYPERLINK("https://klasma.github.io/Logging_1256/kartor/A 34344-2025 karta.png", "A 34344-2025")</f>
        <v/>
      </c>
      <c r="Y43">
        <f>HYPERLINK("https://klasma.github.io/Logging_1256/kartor_geotiff/A 34344-2025 georefererad karta.tif", "A 34344-2025")</f>
        <v/>
      </c>
      <c r="AA43">
        <f>HYPERLINK("https://klasma.github.io/Logging_1256/klagomål/A 34344-2025 FSC-klagomål.docx", "A 34344-2025")</f>
        <v/>
      </c>
      <c r="AB43">
        <f>HYPERLINK("https://klasma.github.io/Logging_1256/klagomålsmail/A 34344-2025 FSC-klagomål mail.docx", "A 34344-2025")</f>
        <v/>
      </c>
      <c r="AC43">
        <f>HYPERLINK("https://klasma.github.io/Logging_1256/tillsyn/A 34344-2025 tillsynsbegäran.docx", "A 34344-2025")</f>
        <v/>
      </c>
      <c r="AD43">
        <f>HYPERLINK("https://klasma.github.io/Logging_1256/tillsynsmail/A 34344-2025 tillsynsbegäran mail.docx", "A 34344-2025")</f>
        <v/>
      </c>
    </row>
    <row r="44" ht="15" customHeight="1">
      <c r="A44" t="inlineStr">
        <is>
          <t>A 16668-2023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46262</v>
      </c>
      <c r="F44" t="inlineStr">
        <is>
          <t>SKÅNE LÄN</t>
        </is>
      </c>
      <c r="G44" t="inlineStr">
        <is>
          <t>ÖSTRA GÖINGE</t>
        </is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Mindre hackspett</t>
        </is>
      </c>
      <c r="W44">
        <f>HYPERLINK("https://klasma.github.io/Logging_1256/artfynd/A 16668-2023 artfynd.xlsx", "A 16668-2023")</f>
        <v/>
      </c>
      <c r="X44">
        <f>HYPERLINK("https://klasma.github.io/Logging_1256/kartor/A 16668-2023 karta.png", "A 16668-2023")</f>
        <v/>
      </c>
      <c r="Y44">
        <f>HYPERLINK("https://klasma.github.io/Logging_1256/kartor_geotiff/A 16668-2023 georefererad karta.tif", "A 16668-2023")</f>
        <v/>
      </c>
      <c r="AA44">
        <f>HYPERLINK("https://klasma.github.io/Logging_1256/klagomål/A 16668-2023 FSC-klagomål.docx", "A 16668-2023")</f>
        <v/>
      </c>
      <c r="AB44">
        <f>HYPERLINK("https://klasma.github.io/Logging_1256/klagomålsmail/A 16668-2023 FSC-klagomål mail.docx", "A 16668-2023")</f>
        <v/>
      </c>
      <c r="AC44">
        <f>HYPERLINK("https://klasma.github.io/Logging_1256/tillsyn/A 16668-2023 tillsynsbegäran.docx", "A 16668-2023")</f>
        <v/>
      </c>
      <c r="AD44">
        <f>HYPERLINK("https://klasma.github.io/Logging_1256/tillsynsmail/A 16668-2023 tillsynsbegäran mail.docx", "A 16668-2023")</f>
        <v/>
      </c>
      <c r="AE44">
        <f>HYPERLINK("https://klasma.github.io/Logging_1256/fåglar/A 16668-2023 prioriterade fågelarter.docx", "A 16668-2023")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46262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46262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46262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46262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46262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46262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46262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46262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46262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46262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46262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46262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46262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46262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46262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46262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46262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46262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46262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46262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46262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46262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46262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46262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46262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46262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46262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46262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46262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46262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46262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46262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44820</v>
      </c>
      <c r="E90" s="1" t="n">
        <v>46262</v>
      </c>
      <c r="F90" t="inlineStr">
        <is>
          <t>SKÅNE LÄN</t>
        </is>
      </c>
      <c r="G90" t="inlineStr">
        <is>
          <t>ÖSTRA GÖINGE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46262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46262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46262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46262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46262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46262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46262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46262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46262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46262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46262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46262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46262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46262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46262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46262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46262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46262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46262</v>
      </c>
      <c r="F109" t="inlineStr">
        <is>
          <t>SKÅNE LÄN</t>
        </is>
      </c>
      <c r="G109" t="inlineStr">
        <is>
          <t>ÖSTRA GÖINGE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46262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46262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46262</v>
      </c>
      <c r="F112" t="inlineStr">
        <is>
          <t>SKÅNE LÄN</t>
        </is>
      </c>
      <c r="G112" t="inlineStr">
        <is>
          <t>ÖSTRA GÖINGE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45082</v>
      </c>
      <c r="E113" s="1" t="n">
        <v>46262</v>
      </c>
      <c r="F113" t="inlineStr">
        <is>
          <t>SKÅNE LÄN</t>
        </is>
      </c>
      <c r="G113" t="inlineStr">
        <is>
          <t>ÖSTRA GÖINGE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46262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46262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45564</v>
      </c>
      <c r="E116" s="1" t="n">
        <v>46262</v>
      </c>
      <c r="F116" t="inlineStr">
        <is>
          <t>SKÅNE LÄN</t>
        </is>
      </c>
      <c r="G116" t="inlineStr">
        <is>
          <t>ÖSTRA GÖINGE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45307</v>
      </c>
      <c r="E117" s="1" t="n">
        <v>46262</v>
      </c>
      <c r="F117" t="inlineStr">
        <is>
          <t>SKÅNE LÄN</t>
        </is>
      </c>
      <c r="G117" t="inlineStr">
        <is>
          <t>ÖSTRA GÖINGE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34931-2023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45142</v>
      </c>
      <c r="E118" s="1" t="n">
        <v>46262</v>
      </c>
      <c r="F118" t="inlineStr">
        <is>
          <t>SKÅNE LÄN</t>
        </is>
      </c>
      <c r="G118" t="inlineStr">
        <is>
          <t>ÖSTRA GÖINGE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24028-2022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44723</v>
      </c>
      <c r="E119" s="1" t="n">
        <v>46262</v>
      </c>
      <c r="F119" t="inlineStr">
        <is>
          <t>SKÅNE LÄN</t>
        </is>
      </c>
      <c r="G119" t="inlineStr">
        <is>
          <t>ÖSTRA GÖINGE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46262</v>
      </c>
      <c r="F120" t="inlineStr">
        <is>
          <t>SKÅNE LÄN</t>
        </is>
      </c>
      <c r="G120" t="inlineStr">
        <is>
          <t>ÖSTRA GÖINGE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46262</v>
      </c>
      <c r="F121" t="inlineStr">
        <is>
          <t>SKÅNE LÄN</t>
        </is>
      </c>
      <c r="G121" t="inlineStr">
        <is>
          <t>ÖSTRA GÖINGE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46262</v>
      </c>
      <c r="F122" t="inlineStr">
        <is>
          <t>SKÅNE LÄN</t>
        </is>
      </c>
      <c r="G122" t="inlineStr">
        <is>
          <t>ÖSTRA GÖINGE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46262</v>
      </c>
      <c r="F123" t="inlineStr">
        <is>
          <t>SKÅNE LÄN</t>
        </is>
      </c>
      <c r="G123" t="inlineStr">
        <is>
          <t>ÖSTRA GÖINGE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46262</v>
      </c>
      <c r="F124" t="inlineStr">
        <is>
          <t>SKÅNE LÄN</t>
        </is>
      </c>
      <c r="G124" t="inlineStr">
        <is>
          <t>ÖSTRA GÖINGE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46262</v>
      </c>
      <c r="F125" t="inlineStr">
        <is>
          <t>SKÅNE LÄN</t>
        </is>
      </c>
      <c r="G125" t="inlineStr">
        <is>
          <t>ÖSTRA GÖINGE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46262</v>
      </c>
      <c r="F126" t="inlineStr">
        <is>
          <t>SKÅNE LÄN</t>
        </is>
      </c>
      <c r="G126" t="inlineStr">
        <is>
          <t>ÖSTRA GÖINGE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46262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46262</v>
      </c>
      <c r="F128" t="inlineStr">
        <is>
          <t>SKÅNE LÄN</t>
        </is>
      </c>
      <c r="G128" t="inlineStr">
        <is>
          <t>ÖSTRA GÖINGE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45202</v>
      </c>
      <c r="E129" s="1" t="n">
        <v>46262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46262</v>
      </c>
      <c r="F130" t="inlineStr">
        <is>
          <t>SKÅNE LÄN</t>
        </is>
      </c>
      <c r="G130" t="inlineStr">
        <is>
          <t>ÖSTRA GÖINGE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46262</v>
      </c>
      <c r="F131" t="inlineStr">
        <is>
          <t>SKÅNE LÄN</t>
        </is>
      </c>
      <c r="G131" t="inlineStr">
        <is>
          <t>ÖSTRA GÖINGE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45568</v>
      </c>
      <c r="E132" s="1" t="n">
        <v>46262</v>
      </c>
      <c r="F132" t="inlineStr">
        <is>
          <t>SKÅNE LÄN</t>
        </is>
      </c>
      <c r="G132" t="inlineStr">
        <is>
          <t>ÖSTRA GÖINGE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46262</v>
      </c>
      <c r="F133" t="inlineStr">
        <is>
          <t>SKÅNE LÄN</t>
        </is>
      </c>
      <c r="G133" t="inlineStr">
        <is>
          <t>ÖSTRA GÖINGE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46262</v>
      </c>
      <c r="F134" t="inlineStr">
        <is>
          <t>SKÅNE LÄN</t>
        </is>
      </c>
      <c r="G134" t="inlineStr">
        <is>
          <t>ÖSTRA GÖINGE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46262</v>
      </c>
      <c r="F135" t="inlineStr">
        <is>
          <t>SKÅNE LÄN</t>
        </is>
      </c>
      <c r="G135" t="inlineStr">
        <is>
          <t>ÖSTRA GÖINGE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46262</v>
      </c>
      <c r="F136" t="inlineStr">
        <is>
          <t>SKÅNE LÄN</t>
        </is>
      </c>
      <c r="G136" t="inlineStr">
        <is>
          <t>ÖSTRA GÖINGE</t>
        </is>
      </c>
      <c r="H136" t="inlineStr">
        <is>
          <t>Kyrkan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46262</v>
      </c>
      <c r="F137" t="inlineStr">
        <is>
          <t>SKÅNE LÄN</t>
        </is>
      </c>
      <c r="G137" t="inlineStr">
        <is>
          <t>ÖSTRA GÖINGE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46262</v>
      </c>
      <c r="F138" t="inlineStr">
        <is>
          <t>SKÅNE LÄN</t>
        </is>
      </c>
      <c r="G138" t="inlineStr">
        <is>
          <t>ÖSTRA GÖINGE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46262</v>
      </c>
      <c r="F139" t="inlineStr">
        <is>
          <t>SKÅNE LÄN</t>
        </is>
      </c>
      <c r="G139" t="inlineStr">
        <is>
          <t>ÖSTRA GÖINGE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62144-2023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46262</v>
      </c>
      <c r="F140" t="inlineStr">
        <is>
          <t>SKÅNE LÄN</t>
        </is>
      </c>
      <c r="G140" t="inlineStr">
        <is>
          <t>ÖSTRA GÖINGE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46262</v>
      </c>
      <c r="F141" t="inlineStr">
        <is>
          <t>SKÅNE LÄN</t>
        </is>
      </c>
      <c r="G141" t="inlineStr">
        <is>
          <t>ÖSTRA GÖINGE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46262</v>
      </c>
      <c r="F142" t="inlineStr">
        <is>
          <t>SKÅNE LÄN</t>
        </is>
      </c>
      <c r="G142" t="inlineStr">
        <is>
          <t>ÖSTRA GÖINGE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46262</v>
      </c>
      <c r="F143" t="inlineStr">
        <is>
          <t>SKÅNE LÄN</t>
        </is>
      </c>
      <c r="G143" t="inlineStr">
        <is>
          <t>ÖSTRA GÖINGE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46262</v>
      </c>
      <c r="F144" t="inlineStr">
        <is>
          <t>SKÅNE LÄN</t>
        </is>
      </c>
      <c r="G144" t="inlineStr">
        <is>
          <t>ÖSTRA GÖINGE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45966</v>
      </c>
      <c r="E145" s="1" t="n">
        <v>46262</v>
      </c>
      <c r="F145" t="inlineStr">
        <is>
          <t>SKÅNE LÄN</t>
        </is>
      </c>
      <c r="G145" t="inlineStr">
        <is>
          <t>ÖSTRA GÖINGE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46262</v>
      </c>
      <c r="F146" t="inlineStr">
        <is>
          <t>SKÅNE LÄN</t>
        </is>
      </c>
      <c r="G146" t="inlineStr">
        <is>
          <t>ÖSTRA GÖINGE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45966</v>
      </c>
      <c r="E147" s="1" t="n">
        <v>46262</v>
      </c>
      <c r="F147" t="inlineStr">
        <is>
          <t>SKÅNE LÄN</t>
        </is>
      </c>
      <c r="G147" t="inlineStr">
        <is>
          <t>ÖSTRA GÖINGE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46262</v>
      </c>
      <c r="F148" t="inlineStr">
        <is>
          <t>SKÅNE LÄN</t>
        </is>
      </c>
      <c r="G148" t="inlineStr">
        <is>
          <t>ÖSTRA GÖINGE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46262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45970</v>
      </c>
      <c r="E150" s="1" t="n">
        <v>46262</v>
      </c>
      <c r="F150" t="inlineStr">
        <is>
          <t>SKÅNE LÄN</t>
        </is>
      </c>
      <c r="G150" t="inlineStr">
        <is>
          <t>ÖSTRA GÖINGE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46262</v>
      </c>
      <c r="F151" t="inlineStr">
        <is>
          <t>SKÅNE LÄN</t>
        </is>
      </c>
      <c r="G151" t="inlineStr">
        <is>
          <t>ÖSTRA GÖINGE</t>
        </is>
      </c>
      <c r="H151" t="inlineStr">
        <is>
          <t>Sveaskog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46262</v>
      </c>
      <c r="F152" t="inlineStr">
        <is>
          <t>SKÅNE LÄN</t>
        </is>
      </c>
      <c r="G152" t="inlineStr">
        <is>
          <t>ÖSTRA GÖINGE</t>
        </is>
      </c>
      <c r="H152" t="inlineStr">
        <is>
          <t>Sveaskog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46262</v>
      </c>
      <c r="F153" t="inlineStr">
        <is>
          <t>SKÅNE LÄN</t>
        </is>
      </c>
      <c r="G153" t="inlineStr">
        <is>
          <t>ÖSTRA GÖINGE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46262</v>
      </c>
      <c r="F154" t="inlineStr">
        <is>
          <t>SKÅNE LÄN</t>
        </is>
      </c>
      <c r="G154" t="inlineStr">
        <is>
          <t>ÖSTRA GÖINGE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46262</v>
      </c>
      <c r="F155" t="inlineStr">
        <is>
          <t>SKÅNE LÄN</t>
        </is>
      </c>
      <c r="G155" t="inlineStr">
        <is>
          <t>ÖSTRA GÖINGE</t>
        </is>
      </c>
      <c r="H155" t="inlineStr">
        <is>
          <t>Sveaskog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46262</v>
      </c>
      <c r="F156" t="inlineStr">
        <is>
          <t>SKÅNE LÄN</t>
        </is>
      </c>
      <c r="G156" t="inlineStr">
        <is>
          <t>ÖSTRA GÖINGE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44981</v>
      </c>
      <c r="E157" s="1" t="n">
        <v>46262</v>
      </c>
      <c r="F157" t="inlineStr">
        <is>
          <t>SKÅNE LÄN</t>
        </is>
      </c>
      <c r="G157" t="inlineStr">
        <is>
          <t>ÖSTRA GÖINGE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46262</v>
      </c>
      <c r="F158" t="inlineStr">
        <is>
          <t>SKÅNE LÄN</t>
        </is>
      </c>
      <c r="G158" t="inlineStr">
        <is>
          <t>ÖSTRA GÖINGE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45980</v>
      </c>
      <c r="E159" s="1" t="n">
        <v>46262</v>
      </c>
      <c r="F159" t="inlineStr">
        <is>
          <t>SKÅNE LÄN</t>
        </is>
      </c>
      <c r="G159" t="inlineStr">
        <is>
          <t>ÖSTRA GÖINGE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46262</v>
      </c>
      <c r="F160" t="inlineStr">
        <is>
          <t>SKÅNE LÄN</t>
        </is>
      </c>
      <c r="G160" t="inlineStr">
        <is>
          <t>ÖSTRA GÖINGE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46262</v>
      </c>
      <c r="F161" t="inlineStr">
        <is>
          <t>SKÅNE LÄN</t>
        </is>
      </c>
      <c r="G161" t="inlineStr">
        <is>
          <t>ÖSTRA GÖINGE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46262</v>
      </c>
      <c r="F162" t="inlineStr">
        <is>
          <t>SKÅNE LÄN</t>
        </is>
      </c>
      <c r="G162" t="inlineStr">
        <is>
          <t>ÖSTRA GÖINGE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46262</v>
      </c>
      <c r="F163" t="inlineStr">
        <is>
          <t>SKÅNE LÄN</t>
        </is>
      </c>
      <c r="G163" t="inlineStr">
        <is>
          <t>ÖSTRA GÖINGE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46262</v>
      </c>
      <c r="F164" t="inlineStr">
        <is>
          <t>SKÅNE LÄN</t>
        </is>
      </c>
      <c r="G164" t="inlineStr">
        <is>
          <t>ÖSTRA GÖINGE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46262</v>
      </c>
      <c r="F165" t="inlineStr">
        <is>
          <t>SKÅNE LÄN</t>
        </is>
      </c>
      <c r="G165" t="inlineStr">
        <is>
          <t>ÖSTRA GÖINGE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46262</v>
      </c>
      <c r="F166" t="inlineStr">
        <is>
          <t>SKÅNE LÄN</t>
        </is>
      </c>
      <c r="G166" t="inlineStr">
        <is>
          <t>ÖSTRA GÖINGE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46262</v>
      </c>
      <c r="F167" t="inlineStr">
        <is>
          <t>SKÅNE LÄN</t>
        </is>
      </c>
      <c r="G167" t="inlineStr">
        <is>
          <t>ÖSTRA GÖINGE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46262</v>
      </c>
      <c r="F168" t="inlineStr">
        <is>
          <t>SKÅNE LÄN</t>
        </is>
      </c>
      <c r="G168" t="inlineStr">
        <is>
          <t>ÖSTRA GÖINGE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46262</v>
      </c>
      <c r="F169" t="inlineStr">
        <is>
          <t>SKÅNE LÄN</t>
        </is>
      </c>
      <c r="G169" t="inlineStr">
        <is>
          <t>ÖSTRA GÖINGE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46262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46262</v>
      </c>
      <c r="F171" t="inlineStr">
        <is>
          <t>SKÅNE LÄN</t>
        </is>
      </c>
      <c r="G171" t="inlineStr">
        <is>
          <t>ÖSTRA GÖINGE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46262</v>
      </c>
      <c r="F172" t="inlineStr">
        <is>
          <t>SKÅNE LÄN</t>
        </is>
      </c>
      <c r="G172" t="inlineStr">
        <is>
          <t>ÖSTRA GÖINGE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45274</v>
      </c>
      <c r="E173" s="1" t="n">
        <v>46262</v>
      </c>
      <c r="F173" t="inlineStr">
        <is>
          <t>SKÅNE LÄN</t>
        </is>
      </c>
      <c r="G173" t="inlineStr">
        <is>
          <t>ÖSTRA GÖINGE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46262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45918</v>
      </c>
      <c r="E175" s="1" t="n">
        <v>46262</v>
      </c>
      <c r="F175" t="inlineStr">
        <is>
          <t>SKÅNE LÄN</t>
        </is>
      </c>
      <c r="G175" t="inlineStr">
        <is>
          <t>ÖSTRA GÖINGE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46262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46262</v>
      </c>
      <c r="F177" t="inlineStr">
        <is>
          <t>SKÅNE LÄN</t>
        </is>
      </c>
      <c r="G177" t="inlineStr">
        <is>
          <t>ÖSTRA GÖINGE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46262</v>
      </c>
      <c r="F178" t="inlineStr">
        <is>
          <t>SKÅNE LÄN</t>
        </is>
      </c>
      <c r="G178" t="inlineStr">
        <is>
          <t>ÖSTRA GÖINGE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46262</v>
      </c>
      <c r="F179" t="inlineStr">
        <is>
          <t>SKÅNE LÄN</t>
        </is>
      </c>
      <c r="G179" t="inlineStr">
        <is>
          <t>ÖSTRA GÖINGE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46262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45667</v>
      </c>
      <c r="E181" s="1" t="n">
        <v>46262</v>
      </c>
      <c r="F181" t="inlineStr">
        <is>
          <t>SKÅNE LÄN</t>
        </is>
      </c>
      <c r="G181" t="inlineStr">
        <is>
          <t>ÖSTRA GÖINGE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46262</v>
      </c>
      <c r="F182" t="inlineStr">
        <is>
          <t>SKÅNE LÄN</t>
        </is>
      </c>
      <c r="G182" t="inlineStr">
        <is>
          <t>ÖSTRA GÖINGE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45848</v>
      </c>
      <c r="E183" s="1" t="n">
        <v>46262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46262</v>
      </c>
      <c r="F184" t="inlineStr">
        <is>
          <t>SKÅNE LÄN</t>
        </is>
      </c>
      <c r="G184" t="inlineStr">
        <is>
          <t>ÖSTRA GÖINGE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46262</v>
      </c>
      <c r="F185" t="inlineStr">
        <is>
          <t>SKÅNE LÄN</t>
        </is>
      </c>
      <c r="G185" t="inlineStr">
        <is>
          <t>ÖSTRA GÖINGE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36324-2022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44803</v>
      </c>
      <c r="E186" s="1" t="n">
        <v>46262</v>
      </c>
      <c r="F186" t="inlineStr">
        <is>
          <t>SKÅNE LÄN</t>
        </is>
      </c>
      <c r="G186" t="inlineStr">
        <is>
          <t>ÖSTRA GÖINGE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46262</v>
      </c>
      <c r="F187" t="inlineStr">
        <is>
          <t>SKÅNE LÄN</t>
        </is>
      </c>
      <c r="G187" t="inlineStr">
        <is>
          <t>ÖSTRA GÖINGE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46262</v>
      </c>
      <c r="F188" t="inlineStr">
        <is>
          <t>SKÅNE LÄN</t>
        </is>
      </c>
      <c r="G188" t="inlineStr">
        <is>
          <t>ÖSTRA GÖINGE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46262</v>
      </c>
      <c r="F189" t="inlineStr">
        <is>
          <t>SKÅNE LÄN</t>
        </is>
      </c>
      <c r="G189" t="inlineStr">
        <is>
          <t>ÖSTRA GÖINGE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46262</v>
      </c>
      <c r="F190" t="inlineStr">
        <is>
          <t>SKÅNE LÄN</t>
        </is>
      </c>
      <c r="G190" t="inlineStr">
        <is>
          <t>ÖSTRA GÖINGE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45935</v>
      </c>
      <c r="E191" s="1" t="n">
        <v>46262</v>
      </c>
      <c r="F191" t="inlineStr">
        <is>
          <t>SKÅNE LÄN</t>
        </is>
      </c>
      <c r="G191" t="inlineStr">
        <is>
          <t>ÖSTRA GÖINGE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45475</v>
      </c>
      <c r="E192" s="1" t="n">
        <v>46262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35547-2023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45146</v>
      </c>
      <c r="E193" s="1" t="n">
        <v>46262</v>
      </c>
      <c r="F193" t="inlineStr">
        <is>
          <t>SKÅNE LÄN</t>
        </is>
      </c>
      <c r="G193" t="inlineStr">
        <is>
          <t>ÖSTRA GÖINGE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46262</v>
      </c>
      <c r="F194" t="inlineStr">
        <is>
          <t>SKÅNE LÄN</t>
        </is>
      </c>
      <c r="G194" t="inlineStr">
        <is>
          <t>ÖSTRA GÖINGE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46262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46262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46262</v>
      </c>
      <c r="F197" t="inlineStr">
        <is>
          <t>SKÅNE LÄN</t>
        </is>
      </c>
      <c r="G197" t="inlineStr">
        <is>
          <t>ÖSTRA GÖINGE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46262</v>
      </c>
      <c r="F198" t="inlineStr">
        <is>
          <t>SKÅNE LÄN</t>
        </is>
      </c>
      <c r="G198" t="inlineStr">
        <is>
          <t>ÖSTRA GÖINGE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45085</v>
      </c>
      <c r="E199" s="1" t="n">
        <v>46262</v>
      </c>
      <c r="F199" t="inlineStr">
        <is>
          <t>SKÅNE LÄN</t>
        </is>
      </c>
      <c r="G199" t="inlineStr">
        <is>
          <t>ÖSTRA GÖINGE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45227</v>
      </c>
      <c r="E200" s="1" t="n">
        <v>46262</v>
      </c>
      <c r="F200" t="inlineStr">
        <is>
          <t>SKÅNE LÄN</t>
        </is>
      </c>
      <c r="G200" t="inlineStr">
        <is>
          <t>ÖSTRA GÖINGE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46262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45428</v>
      </c>
      <c r="E202" s="1" t="n">
        <v>46262</v>
      </c>
      <c r="F202" t="inlineStr">
        <is>
          <t>SKÅNE LÄN</t>
        </is>
      </c>
      <c r="G202" t="inlineStr">
        <is>
          <t>ÖSTRA GÖINGE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46262</v>
      </c>
      <c r="F203" t="inlineStr">
        <is>
          <t>SKÅNE LÄN</t>
        </is>
      </c>
      <c r="G203" t="inlineStr">
        <is>
          <t>ÖSTRA GÖINGE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46262</v>
      </c>
      <c r="F204" t="inlineStr">
        <is>
          <t>SKÅNE LÄN</t>
        </is>
      </c>
      <c r="G204" t="inlineStr">
        <is>
          <t>ÖSTRA GÖINGE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46262</v>
      </c>
      <c r="F205" t="inlineStr">
        <is>
          <t>SKÅNE LÄN</t>
        </is>
      </c>
      <c r="G205" t="inlineStr">
        <is>
          <t>ÖSTRA GÖINGE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46262</v>
      </c>
      <c r="F206" t="inlineStr">
        <is>
          <t>SKÅNE LÄN</t>
        </is>
      </c>
      <c r="G206" t="inlineStr">
        <is>
          <t>ÖSTRA GÖINGE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50663-2024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46262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45489</v>
      </c>
      <c r="E208" s="1" t="n">
        <v>46262</v>
      </c>
      <c r="F208" t="inlineStr">
        <is>
          <t>SKÅNE LÄN</t>
        </is>
      </c>
      <c r="G208" t="inlineStr">
        <is>
          <t>ÖSTRA GÖINGE</t>
        </is>
      </c>
      <c r="I208" t="n">
        <v>11.9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45686</v>
      </c>
      <c r="E209" s="1" t="n">
        <v>46262</v>
      </c>
      <c r="F209" t="inlineStr">
        <is>
          <t>SKÅNE LÄN</t>
        </is>
      </c>
      <c r="G209" t="inlineStr">
        <is>
          <t>ÖSTRA GÖINGE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46262</v>
      </c>
      <c r="F210" t="inlineStr">
        <is>
          <t>SKÅNE LÄN</t>
        </is>
      </c>
      <c r="G210" t="inlineStr">
        <is>
          <t>ÖSTRA GÖINGE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46262</v>
      </c>
      <c r="F211" t="inlineStr">
        <is>
          <t>SKÅNE LÄN</t>
        </is>
      </c>
      <c r="G211" t="inlineStr">
        <is>
          <t>ÖSTRA GÖINGE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46262</v>
      </c>
      <c r="F212" t="inlineStr">
        <is>
          <t>SKÅNE LÄN</t>
        </is>
      </c>
      <c r="G212" t="inlineStr">
        <is>
          <t>ÖSTRA GÖINGE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46029</v>
      </c>
      <c r="E213" s="1" t="n">
        <v>46262</v>
      </c>
      <c r="F213" t="inlineStr">
        <is>
          <t>SKÅNE LÄN</t>
        </is>
      </c>
      <c r="G213" t="inlineStr">
        <is>
          <t>ÖSTRA GÖINGE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46262</v>
      </c>
      <c r="F214" t="inlineStr">
        <is>
          <t>SKÅNE LÄN</t>
        </is>
      </c>
      <c r="G214" t="inlineStr">
        <is>
          <t>ÖSTRA GÖINGE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46262</v>
      </c>
      <c r="F215" t="inlineStr">
        <is>
          <t>SKÅNE LÄN</t>
        </is>
      </c>
      <c r="G215" t="inlineStr">
        <is>
          <t>ÖSTRA GÖINGE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46262</v>
      </c>
      <c r="F216" t="inlineStr">
        <is>
          <t>SKÅNE LÄN</t>
        </is>
      </c>
      <c r="G216" t="inlineStr">
        <is>
          <t>ÖSTRA GÖINGE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46262</v>
      </c>
      <c r="F217" t="inlineStr">
        <is>
          <t>SKÅNE LÄN</t>
        </is>
      </c>
      <c r="G217" t="inlineStr">
        <is>
          <t>ÖSTRA GÖINGE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46262</v>
      </c>
      <c r="F218" t="inlineStr">
        <is>
          <t>SKÅNE LÄN</t>
        </is>
      </c>
      <c r="G218" t="inlineStr">
        <is>
          <t>ÖSTRA GÖINGE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46262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45316</v>
      </c>
      <c r="E220" s="1" t="n">
        <v>46262</v>
      </c>
      <c r="F220" t="inlineStr">
        <is>
          <t>SKÅNE LÄN</t>
        </is>
      </c>
      <c r="G220" t="inlineStr">
        <is>
          <t>ÖSTRA GÖINGE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46262</v>
      </c>
      <c r="F221" t="inlineStr">
        <is>
          <t>SKÅNE LÄN</t>
        </is>
      </c>
      <c r="G221" t="inlineStr">
        <is>
          <t>ÖSTRA GÖINGE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46262</v>
      </c>
      <c r="F222" t="inlineStr">
        <is>
          <t>SKÅNE LÄN</t>
        </is>
      </c>
      <c r="G222" t="inlineStr">
        <is>
          <t>ÖSTRA GÖINGE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44627</v>
      </c>
      <c r="E223" s="1" t="n">
        <v>46262</v>
      </c>
      <c r="F223" t="inlineStr">
        <is>
          <t>SKÅNE LÄN</t>
        </is>
      </c>
      <c r="G223" t="inlineStr">
        <is>
          <t>ÖSTRA GÖINGE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46262</v>
      </c>
      <c r="F224" t="inlineStr">
        <is>
          <t>SKÅNE LÄN</t>
        </is>
      </c>
      <c r="G224" t="inlineStr">
        <is>
          <t>ÖSTRA GÖINGE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45245</v>
      </c>
      <c r="E225" s="1" t="n">
        <v>46262</v>
      </c>
      <c r="F225" t="inlineStr">
        <is>
          <t>SKÅNE LÄN</t>
        </is>
      </c>
      <c r="G225" t="inlineStr">
        <is>
          <t>ÖSTRA GÖINGE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71741-2021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44539</v>
      </c>
      <c r="E226" s="1" t="n">
        <v>46262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50472-2023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45216</v>
      </c>
      <c r="E227" s="1" t="n">
        <v>46262</v>
      </c>
      <c r="F227" t="inlineStr">
        <is>
          <t>SKÅNE LÄN</t>
        </is>
      </c>
      <c r="G227" t="inlineStr">
        <is>
          <t>ÖSTRA GÖINGE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46262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46262</v>
      </c>
      <c r="F229" t="inlineStr">
        <is>
          <t>SKÅNE LÄN</t>
        </is>
      </c>
      <c r="G229" t="inlineStr">
        <is>
          <t>ÖSTRA GÖINGE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46262</v>
      </c>
      <c r="F230" t="inlineStr">
        <is>
          <t>SKÅNE LÄN</t>
        </is>
      </c>
      <c r="G230" t="inlineStr">
        <is>
          <t>ÖSTRA GÖINGE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46279-2024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45581</v>
      </c>
      <c r="E231" s="1" t="n">
        <v>46262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46262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46262</v>
      </c>
      <c r="F233" t="inlineStr">
        <is>
          <t>SKÅNE LÄN</t>
        </is>
      </c>
      <c r="G233" t="inlineStr">
        <is>
          <t>ÖSTRA GÖINGE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45331</v>
      </c>
      <c r="E234" s="1" t="n">
        <v>46262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44853</v>
      </c>
      <c r="E235" s="1" t="n">
        <v>46262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45069</v>
      </c>
      <c r="E236" s="1" t="n">
        <v>46262</v>
      </c>
      <c r="F236" t="inlineStr">
        <is>
          <t>SKÅNE LÄN</t>
        </is>
      </c>
      <c r="G236" t="inlineStr">
        <is>
          <t>ÖSTRA GÖINGE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45268</v>
      </c>
      <c r="E237" s="1" t="n">
        <v>46262</v>
      </c>
      <c r="F237" t="inlineStr">
        <is>
          <t>SKÅNE LÄN</t>
        </is>
      </c>
      <c r="G237" t="inlineStr">
        <is>
          <t>ÖSTRA GÖINGE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46262</v>
      </c>
      <c r="F238" t="inlineStr">
        <is>
          <t>SKÅNE LÄN</t>
        </is>
      </c>
      <c r="G238" t="inlineStr">
        <is>
          <t>ÖSTRA GÖINGE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46262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46262</v>
      </c>
      <c r="F240" t="inlineStr">
        <is>
          <t>SKÅNE LÄN</t>
        </is>
      </c>
      <c r="G240" t="inlineStr">
        <is>
          <t>ÖSTRA GÖINGE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46262</v>
      </c>
      <c r="F241" t="inlineStr">
        <is>
          <t>SKÅNE LÄN</t>
        </is>
      </c>
      <c r="G241" t="inlineStr">
        <is>
          <t>ÖSTRA GÖINGE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46262</v>
      </c>
      <c r="F242" t="inlineStr">
        <is>
          <t>SKÅNE LÄN</t>
        </is>
      </c>
      <c r="G242" t="inlineStr">
        <is>
          <t>ÖSTRA GÖINGE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45569</v>
      </c>
      <c r="E243" s="1" t="n">
        <v>46262</v>
      </c>
      <c r="F243" t="inlineStr">
        <is>
          <t>SKÅNE LÄN</t>
        </is>
      </c>
      <c r="G243" t="inlineStr">
        <is>
          <t>ÖSTRA GÖINGE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46262</v>
      </c>
      <c r="F244" t="inlineStr">
        <is>
          <t>SKÅNE LÄN</t>
        </is>
      </c>
      <c r="G244" t="inlineStr">
        <is>
          <t>ÖSTRA GÖINGE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45410</v>
      </c>
      <c r="E245" s="1" t="n">
        <v>46262</v>
      </c>
      <c r="F245" t="inlineStr">
        <is>
          <t>SKÅNE LÄN</t>
        </is>
      </c>
      <c r="G245" t="inlineStr">
        <is>
          <t>ÖSTRA GÖINGE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7057-2026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46057</v>
      </c>
      <c r="E246" s="1" t="n">
        <v>46262</v>
      </c>
      <c r="F246" t="inlineStr">
        <is>
          <t>SKÅNE LÄN</t>
        </is>
      </c>
      <c r="G246" t="inlineStr">
        <is>
          <t>ÖSTRA GÖINGE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46262</v>
      </c>
      <c r="F247" t="inlineStr">
        <is>
          <t>SKÅNE LÄN</t>
        </is>
      </c>
      <c r="G247" t="inlineStr">
        <is>
          <t>ÖSTRA GÖINGE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9081-2026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46262</v>
      </c>
      <c r="F248" t="inlineStr">
        <is>
          <t>SKÅNE LÄN</t>
        </is>
      </c>
      <c r="G248" t="inlineStr">
        <is>
          <t>ÖSTRA GÖINGE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45172</v>
      </c>
      <c r="E249" s="1" t="n">
        <v>46262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45029</v>
      </c>
      <c r="E250" s="1" t="n">
        <v>46262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46262</v>
      </c>
      <c r="F251" t="inlineStr">
        <is>
          <t>SKÅNE LÄN</t>
        </is>
      </c>
      <c r="G251" t="inlineStr">
        <is>
          <t>ÖSTRA GÖINGE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44958</v>
      </c>
      <c r="E252" s="1" t="n">
        <v>46262</v>
      </c>
      <c r="F252" t="inlineStr">
        <is>
          <t>SKÅNE LÄN</t>
        </is>
      </c>
      <c r="G252" t="inlineStr">
        <is>
          <t>ÖSTRA GÖINGE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47628-2022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44852</v>
      </c>
      <c r="E253" s="1" t="n">
        <v>46262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46262</v>
      </c>
      <c r="F254" t="inlineStr">
        <is>
          <t>SKÅNE LÄN</t>
        </is>
      </c>
      <c r="G254" t="inlineStr">
        <is>
          <t>ÖSTRA GÖINGE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46262</v>
      </c>
      <c r="F255" t="inlineStr">
        <is>
          <t>SKÅNE LÄN</t>
        </is>
      </c>
      <c r="G255" t="inlineStr">
        <is>
          <t>ÖSTRA GÖINGE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46262</v>
      </c>
      <c r="F256" t="inlineStr">
        <is>
          <t>SKÅNE LÄN</t>
        </is>
      </c>
      <c r="G256" t="inlineStr">
        <is>
          <t>ÖSTRA GÖINGE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45856</v>
      </c>
      <c r="E257" s="1" t="n">
        <v>46262</v>
      </c>
      <c r="F257" t="inlineStr">
        <is>
          <t>SKÅNE LÄN</t>
        </is>
      </c>
      <c r="G257" t="inlineStr">
        <is>
          <t>ÖSTRA GÖINGE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45856</v>
      </c>
      <c r="E258" s="1" t="n">
        <v>46262</v>
      </c>
      <c r="F258" t="inlineStr">
        <is>
          <t>SKÅNE LÄN</t>
        </is>
      </c>
      <c r="G258" t="inlineStr">
        <is>
          <t>ÖSTRA GÖINGE</t>
        </is>
      </c>
      <c r="I258" t="n">
        <v>11.9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46262</v>
      </c>
      <c r="F259" t="inlineStr">
        <is>
          <t>SKÅNE LÄN</t>
        </is>
      </c>
      <c r="G259" t="inlineStr">
        <is>
          <t>ÖSTRA GÖINGE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46262</v>
      </c>
      <c r="F260" t="inlineStr">
        <is>
          <t>SKÅNE LÄN</t>
        </is>
      </c>
      <c r="G260" t="inlineStr">
        <is>
          <t>ÖSTRA GÖINGE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46262</v>
      </c>
      <c r="F261" t="inlineStr">
        <is>
          <t>SKÅNE LÄN</t>
        </is>
      </c>
      <c r="G261" t="inlineStr">
        <is>
          <t>ÖSTRA GÖINGE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52522-2021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44466</v>
      </c>
      <c r="E262" s="1" t="n">
        <v>46262</v>
      </c>
      <c r="F262" t="inlineStr">
        <is>
          <t>SKÅNE LÄN</t>
        </is>
      </c>
      <c r="G262" t="inlineStr">
        <is>
          <t>ÖSTRA GÖINGE</t>
        </is>
      </c>
      <c r="H262" t="inlineStr">
        <is>
          <t>Sveaskog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46262</v>
      </c>
      <c r="F263" t="inlineStr">
        <is>
          <t>SKÅNE LÄN</t>
        </is>
      </c>
      <c r="G263" t="inlineStr">
        <is>
          <t>ÖSTRA GÖINGE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46262</v>
      </c>
      <c r="F264" t="inlineStr">
        <is>
          <t>SKÅNE LÄN</t>
        </is>
      </c>
      <c r="G264" t="inlineStr">
        <is>
          <t>ÖSTRA GÖINGE</t>
        </is>
      </c>
      <c r="I264" t="n">
        <v>9.4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45254</v>
      </c>
      <c r="E265" s="1" t="n">
        <v>46262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46262</v>
      </c>
      <c r="F266" t="inlineStr">
        <is>
          <t>SKÅNE LÄN</t>
        </is>
      </c>
      <c r="G266" t="inlineStr">
        <is>
          <t>ÖSTRA GÖINGE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45139</v>
      </c>
      <c r="E267" s="1" t="n">
        <v>46262</v>
      </c>
      <c r="F267" t="inlineStr">
        <is>
          <t>SKÅNE LÄN</t>
        </is>
      </c>
      <c r="G267" t="inlineStr">
        <is>
          <t>ÖSTRA GÖINGE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46262</v>
      </c>
      <c r="F268" t="inlineStr">
        <is>
          <t>SKÅNE LÄN</t>
        </is>
      </c>
      <c r="G268" t="inlineStr">
        <is>
          <t>ÖSTRA GÖINGE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46262</v>
      </c>
      <c r="F269" t="inlineStr">
        <is>
          <t>SKÅNE LÄN</t>
        </is>
      </c>
      <c r="G269" t="inlineStr">
        <is>
          <t>ÖSTRA GÖINGE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46262</v>
      </c>
      <c r="F270" t="inlineStr">
        <is>
          <t>SKÅNE LÄN</t>
        </is>
      </c>
      <c r="G270" t="inlineStr">
        <is>
          <t>ÖSTRA GÖINGE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46262</v>
      </c>
      <c r="F271" t="inlineStr">
        <is>
          <t>SKÅNE LÄN</t>
        </is>
      </c>
      <c r="G271" t="inlineStr">
        <is>
          <t>ÖSTRA GÖINGE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69383-2021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46262</v>
      </c>
      <c r="F272" t="inlineStr">
        <is>
          <t>SKÅNE LÄN</t>
        </is>
      </c>
      <c r="G272" t="inlineStr">
        <is>
          <t>ÖSTRA GÖINGE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69390-2021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46262</v>
      </c>
      <c r="F273" t="inlineStr">
        <is>
          <t>SKÅNE LÄN</t>
        </is>
      </c>
      <c r="G273" t="inlineStr">
        <is>
          <t>ÖSTRA GÖINGE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62052-2022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46262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46262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64181-2023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45279</v>
      </c>
      <c r="E276" s="1" t="n">
        <v>46262</v>
      </c>
      <c r="F276" t="inlineStr">
        <is>
          <t>SKÅNE LÄN</t>
        </is>
      </c>
      <c r="G276" t="inlineStr">
        <is>
          <t>ÖSTRA GÖINGE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46262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46262</v>
      </c>
      <c r="F278" t="inlineStr">
        <is>
          <t>SKÅNE LÄN</t>
        </is>
      </c>
      <c r="G278" t="inlineStr">
        <is>
          <t>ÖSTRA GÖINGE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46262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46262</v>
      </c>
      <c r="F280" t="inlineStr">
        <is>
          <t>SKÅNE LÄN</t>
        </is>
      </c>
      <c r="G280" t="inlineStr">
        <is>
          <t>ÖSTRA GÖINGE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45105</v>
      </c>
      <c r="E281" s="1" t="n">
        <v>46262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46262</v>
      </c>
      <c r="F282" t="inlineStr">
        <is>
          <t>SKÅNE LÄN</t>
        </is>
      </c>
      <c r="G282" t="inlineStr">
        <is>
          <t>ÖSTRA GÖINGE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46262</v>
      </c>
      <c r="F283" t="inlineStr">
        <is>
          <t>SKÅNE LÄN</t>
        </is>
      </c>
      <c r="G283" t="inlineStr">
        <is>
          <t>ÖSTRA GÖINGE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46262</v>
      </c>
      <c r="F284" t="inlineStr">
        <is>
          <t>SKÅNE LÄN</t>
        </is>
      </c>
      <c r="G284" t="inlineStr">
        <is>
          <t>ÖSTRA GÖINGE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46262</v>
      </c>
      <c r="F285" t="inlineStr">
        <is>
          <t>SKÅNE LÄN</t>
        </is>
      </c>
      <c r="G285" t="inlineStr">
        <is>
          <t>ÖSTRA GÖINGE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46262</v>
      </c>
      <c r="F286" t="inlineStr">
        <is>
          <t>SKÅNE LÄN</t>
        </is>
      </c>
      <c r="G286" t="inlineStr">
        <is>
          <t>ÖSTRA GÖINGE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46262</v>
      </c>
      <c r="F287" t="inlineStr">
        <is>
          <t>SKÅNE LÄN</t>
        </is>
      </c>
      <c r="G287" t="inlineStr">
        <is>
          <t>ÖSTRA GÖINGE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52051-2022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44873</v>
      </c>
      <c r="E288" s="1" t="n">
        <v>46262</v>
      </c>
      <c r="F288" t="inlineStr">
        <is>
          <t>SKÅNE LÄN</t>
        </is>
      </c>
      <c r="G288" t="inlineStr">
        <is>
          <t>ÖSTRA GÖINGE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46262</v>
      </c>
      <c r="F289" t="inlineStr">
        <is>
          <t>SKÅNE LÄN</t>
        </is>
      </c>
      <c r="G289" t="inlineStr">
        <is>
          <t>ÖSTRA GÖINGE</t>
        </is>
      </c>
      <c r="H289" t="inlineStr">
        <is>
          <t>Sveaskog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46262</v>
      </c>
      <c r="F290" t="inlineStr">
        <is>
          <t>SKÅNE LÄN</t>
        </is>
      </c>
      <c r="G290" t="inlineStr">
        <is>
          <t>ÖSTRA GÖINGE</t>
        </is>
      </c>
      <c r="H290" t="inlineStr">
        <is>
          <t>Sveaskog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46262</v>
      </c>
      <c r="F291" t="inlineStr">
        <is>
          <t>SKÅNE LÄN</t>
        </is>
      </c>
      <c r="G291" t="inlineStr">
        <is>
          <t>ÖSTRA GÖINGE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46262</v>
      </c>
      <c r="F292" t="inlineStr">
        <is>
          <t>SKÅNE LÄN</t>
        </is>
      </c>
      <c r="G292" t="inlineStr">
        <is>
          <t>ÖSTRA GÖINGE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46262</v>
      </c>
      <c r="F293" t="inlineStr">
        <is>
          <t>SKÅNE LÄN</t>
        </is>
      </c>
      <c r="G293" t="inlineStr">
        <is>
          <t>ÖSTRA GÖINGE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50922-2021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44459</v>
      </c>
      <c r="E294" s="1" t="n">
        <v>46262</v>
      </c>
      <c r="F294" t="inlineStr">
        <is>
          <t>SKÅNE LÄN</t>
        </is>
      </c>
      <c r="G294" t="inlineStr">
        <is>
          <t>ÖSTRA GÖINGE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62783-2023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45271</v>
      </c>
      <c r="E295" s="1" t="n">
        <v>46262</v>
      </c>
      <c r="F295" t="inlineStr">
        <is>
          <t>SKÅNE LÄN</t>
        </is>
      </c>
      <c r="G295" t="inlineStr">
        <is>
          <t>ÖSTRA GÖINGE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46262</v>
      </c>
      <c r="F296" t="inlineStr">
        <is>
          <t>SKÅNE LÄN</t>
        </is>
      </c>
      <c r="G296" t="inlineStr">
        <is>
          <t>ÖSTRA GÖINGE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44937</v>
      </c>
      <c r="E297" s="1" t="n">
        <v>46262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66526-2021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44519</v>
      </c>
      <c r="E298" s="1" t="n">
        <v>46262</v>
      </c>
      <c r="F298" t="inlineStr">
        <is>
          <t>SKÅNE LÄN</t>
        </is>
      </c>
      <c r="G298" t="inlineStr">
        <is>
          <t>ÖSTRA GÖINGE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44929</v>
      </c>
      <c r="E299" s="1" t="n">
        <v>46262</v>
      </c>
      <c r="F299" t="inlineStr">
        <is>
          <t>SKÅNE LÄN</t>
        </is>
      </c>
      <c r="G299" t="inlineStr">
        <is>
          <t>ÖSTRA GÖINGE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46262</v>
      </c>
      <c r="F300" t="inlineStr">
        <is>
          <t>SKÅNE LÄN</t>
        </is>
      </c>
      <c r="G300" t="inlineStr">
        <is>
          <t>ÖSTRA GÖINGE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46262</v>
      </c>
      <c r="F301" t="inlineStr">
        <is>
          <t>SKÅNE LÄN</t>
        </is>
      </c>
      <c r="G301" t="inlineStr">
        <is>
          <t>ÖSTRA GÖINGE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46262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46262</v>
      </c>
      <c r="F303" t="inlineStr">
        <is>
          <t>SKÅNE LÄN</t>
        </is>
      </c>
      <c r="G303" t="inlineStr">
        <is>
          <t>ÖSTRA GÖINGE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45386</v>
      </c>
      <c r="E304" s="1" t="n">
        <v>46262</v>
      </c>
      <c r="F304" t="inlineStr">
        <is>
          <t>SKÅNE LÄN</t>
        </is>
      </c>
      <c r="G304" t="inlineStr">
        <is>
          <t>ÖSTRA GÖINGE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19231-2026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46262</v>
      </c>
      <c r="F305" t="inlineStr">
        <is>
          <t>SKÅNE LÄN</t>
        </is>
      </c>
      <c r="G305" t="inlineStr">
        <is>
          <t>ÖSTRA GÖINGE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46262</v>
      </c>
      <c r="F306" t="inlineStr">
        <is>
          <t>SKÅNE LÄN</t>
        </is>
      </c>
      <c r="G306" t="inlineStr">
        <is>
          <t>ÖSTRA GÖINGE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46262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46262</v>
      </c>
      <c r="F308" t="inlineStr">
        <is>
          <t>SKÅNE LÄN</t>
        </is>
      </c>
      <c r="G308" t="inlineStr">
        <is>
          <t>ÖSTRA GÖINGE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44686</v>
      </c>
      <c r="E309" s="1" t="n">
        <v>46262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45435</v>
      </c>
      <c r="E310" s="1" t="n">
        <v>46262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46262</v>
      </c>
      <c r="F311" t="inlineStr">
        <is>
          <t>SKÅNE LÄN</t>
        </is>
      </c>
      <c r="G311" t="inlineStr">
        <is>
          <t>ÖSTRA GÖINGE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46133</v>
      </c>
      <c r="E312" s="1" t="n">
        <v>46262</v>
      </c>
      <c r="F312" t="inlineStr">
        <is>
          <t>SKÅNE LÄN</t>
        </is>
      </c>
      <c r="G312" t="inlineStr">
        <is>
          <t>ÖSTRA GÖINGE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46262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46262</v>
      </c>
      <c r="F314" t="inlineStr">
        <is>
          <t>SKÅNE LÄN</t>
        </is>
      </c>
      <c r="G314" t="inlineStr">
        <is>
          <t>ÖSTRA GÖINGE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42192-2023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45179</v>
      </c>
      <c r="E315" s="1" t="n">
        <v>46262</v>
      </c>
      <c r="F315" t="inlineStr">
        <is>
          <t>SKÅNE LÄN</t>
        </is>
      </c>
      <c r="G315" t="inlineStr">
        <is>
          <t>ÖSTRA GÖINGE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45029</v>
      </c>
      <c r="E316" s="1" t="n">
        <v>46262</v>
      </c>
      <c r="F316" t="inlineStr">
        <is>
          <t>SKÅNE LÄN</t>
        </is>
      </c>
      <c r="G316" t="inlineStr">
        <is>
          <t>ÖSTRA GÖINGE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60251-2022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46262</v>
      </c>
      <c r="F317" t="inlineStr">
        <is>
          <t>SKÅNE LÄN</t>
        </is>
      </c>
      <c r="G317" t="inlineStr">
        <is>
          <t>ÖSTRA GÖINGE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46262</v>
      </c>
      <c r="F318" t="inlineStr">
        <is>
          <t>SKÅNE LÄN</t>
        </is>
      </c>
      <c r="G318" t="inlineStr">
        <is>
          <t>ÖSTRA GÖINGE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46262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49795-2025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46262</v>
      </c>
      <c r="F320" t="inlineStr">
        <is>
          <t>SKÅNE LÄN</t>
        </is>
      </c>
      <c r="G320" t="inlineStr">
        <is>
          <t>ÖSTRA GÖINGE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46262</v>
      </c>
      <c r="F321" t="inlineStr">
        <is>
          <t>SKÅNE LÄN</t>
        </is>
      </c>
      <c r="G321" t="inlineStr">
        <is>
          <t>ÖSTRA GÖINGE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45804</v>
      </c>
      <c r="E322" s="1" t="n">
        <v>46262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45568</v>
      </c>
      <c r="E323" s="1" t="n">
        <v>46262</v>
      </c>
      <c r="F323" t="inlineStr">
        <is>
          <t>SKÅNE LÄN</t>
        </is>
      </c>
      <c r="G323" t="inlineStr">
        <is>
          <t>ÖSTRA GÖINGE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46262</v>
      </c>
      <c r="F324" t="inlineStr">
        <is>
          <t>SKÅNE LÄN</t>
        </is>
      </c>
      <c r="G324" t="inlineStr">
        <is>
          <t>ÖSTRA GÖINGE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46262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46262</v>
      </c>
      <c r="F326" t="inlineStr">
        <is>
          <t>SKÅNE LÄN</t>
        </is>
      </c>
      <c r="G326" t="inlineStr">
        <is>
          <t>ÖSTRA GÖINGE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7739-2024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45349</v>
      </c>
      <c r="E327" s="1" t="n">
        <v>46262</v>
      </c>
      <c r="F327" t="inlineStr">
        <is>
          <t>SKÅNE LÄN</t>
        </is>
      </c>
      <c r="G327" t="inlineStr">
        <is>
          <t>ÖSTRA GÖINGE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46262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11645-2025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46262</v>
      </c>
      <c r="F329" t="inlineStr">
        <is>
          <t>SKÅNE LÄN</t>
        </is>
      </c>
      <c r="G329" t="inlineStr">
        <is>
          <t>ÖSTRA GÖINGE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45483</v>
      </c>
      <c r="E330" s="1" t="n">
        <v>46262</v>
      </c>
      <c r="F330" t="inlineStr">
        <is>
          <t>SKÅNE LÄN</t>
        </is>
      </c>
      <c r="G330" t="inlineStr">
        <is>
          <t>ÖSTRA GÖINGE</t>
        </is>
      </c>
      <c r="I330" t="n">
        <v>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46262</v>
      </c>
      <c r="F331" t="inlineStr">
        <is>
          <t>SKÅNE LÄN</t>
        </is>
      </c>
      <c r="G331" t="inlineStr">
        <is>
          <t>ÖSTRA GÖINGE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45874</v>
      </c>
      <c r="E332" s="1" t="n">
        <v>46262</v>
      </c>
      <c r="F332" t="inlineStr">
        <is>
          <t>SKÅNE LÄN</t>
        </is>
      </c>
      <c r="G332" t="inlineStr">
        <is>
          <t>ÖSTRA GÖINGE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74142-2021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44557</v>
      </c>
      <c r="E333" s="1" t="n">
        <v>46262</v>
      </c>
      <c r="F333" t="inlineStr">
        <is>
          <t>SKÅNE LÄN</t>
        </is>
      </c>
      <c r="G333" t="inlineStr">
        <is>
          <t>ÖSTRA GÖINGE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44887</v>
      </c>
      <c r="E334" s="1" t="n">
        <v>46262</v>
      </c>
      <c r="F334" t="inlineStr">
        <is>
          <t>SKÅNE LÄN</t>
        </is>
      </c>
      <c r="G334" t="inlineStr">
        <is>
          <t>ÖSTRA GÖINGE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45583</v>
      </c>
      <c r="E335" s="1" t="n">
        <v>46262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46262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59709-2023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45256</v>
      </c>
      <c r="E337" s="1" t="n">
        <v>46262</v>
      </c>
      <c r="F337" t="inlineStr">
        <is>
          <t>SKÅNE LÄN</t>
        </is>
      </c>
      <c r="G337" t="inlineStr">
        <is>
          <t>ÖSTRA GÖINGE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21260-2026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46147</v>
      </c>
      <c r="E338" s="1" t="n">
        <v>46262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46262</v>
      </c>
      <c r="F339" t="inlineStr">
        <is>
          <t>SKÅNE LÄN</t>
        </is>
      </c>
      <c r="G339" t="inlineStr">
        <is>
          <t>ÖSTRA GÖINGE</t>
        </is>
      </c>
      <c r="I339" t="n">
        <v>15.4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45330</v>
      </c>
      <c r="E340" s="1" t="n">
        <v>46262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45246</v>
      </c>
      <c r="E341" s="1" t="n">
        <v>46262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71747-2021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44539</v>
      </c>
      <c r="E342" s="1" t="n">
        <v>46262</v>
      </c>
      <c r="F342" t="inlineStr">
        <is>
          <t>SKÅNE LÄN</t>
        </is>
      </c>
      <c r="G342" t="inlineStr">
        <is>
          <t>ÖSTRA GÖINGE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46262</v>
      </c>
      <c r="F343" t="inlineStr">
        <is>
          <t>SKÅNE LÄN</t>
        </is>
      </c>
      <c r="G343" t="inlineStr">
        <is>
          <t>ÖSTRA GÖINGE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45807</v>
      </c>
      <c r="E344" s="1" t="n">
        <v>46262</v>
      </c>
      <c r="F344" t="inlineStr">
        <is>
          <t>SKÅNE LÄN</t>
        </is>
      </c>
      <c r="G344" t="inlineStr">
        <is>
          <t>ÖSTRA GÖINGE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46262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22327-2026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46154</v>
      </c>
      <c r="E346" s="1" t="n">
        <v>46262</v>
      </c>
      <c r="F346" t="inlineStr">
        <is>
          <t>SKÅNE LÄN</t>
        </is>
      </c>
      <c r="G346" t="inlineStr">
        <is>
          <t>ÖSTRA GÖINGE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44853-2024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45574</v>
      </c>
      <c r="E347" s="1" t="n">
        <v>46262</v>
      </c>
      <c r="F347" t="inlineStr">
        <is>
          <t>SKÅNE LÄN</t>
        </is>
      </c>
      <c r="G347" t="inlineStr">
        <is>
          <t>ÖSTRA GÖINGE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45636</v>
      </c>
      <c r="E348" s="1" t="n">
        <v>46262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43054-2025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46262</v>
      </c>
      <c r="F349" t="inlineStr">
        <is>
          <t>SKÅNE LÄN</t>
        </is>
      </c>
      <c r="G349" t="inlineStr">
        <is>
          <t>ÖSTRA GÖINGE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46262</v>
      </c>
      <c r="F350" t="inlineStr">
        <is>
          <t>SKÅNE LÄN</t>
        </is>
      </c>
      <c r="G350" t="inlineStr">
        <is>
          <t>ÖSTRA GÖINGE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46262</v>
      </c>
      <c r="F351" t="inlineStr">
        <is>
          <t>SKÅNE LÄN</t>
        </is>
      </c>
      <c r="G351" t="inlineStr">
        <is>
          <t>ÖSTRA GÖINGE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46262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46262</v>
      </c>
      <c r="F353" t="inlineStr">
        <is>
          <t>SKÅNE LÄN</t>
        </is>
      </c>
      <c r="G353" t="inlineStr">
        <is>
          <t>ÖSTRA GÖINGE</t>
        </is>
      </c>
      <c r="I353" t="n">
        <v>12.8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45733</v>
      </c>
      <c r="E354" s="1" t="n">
        <v>46262</v>
      </c>
      <c r="F354" t="inlineStr">
        <is>
          <t>SKÅNE LÄN</t>
        </is>
      </c>
      <c r="G354" t="inlineStr">
        <is>
          <t>ÖSTRA GÖINGE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46262</v>
      </c>
      <c r="F355" t="inlineStr">
        <is>
          <t>SKÅNE LÄN</t>
        </is>
      </c>
      <c r="G355" t="inlineStr">
        <is>
          <t>ÖSTRA GÖINGE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45686</v>
      </c>
      <c r="E356" s="1" t="n">
        <v>46262</v>
      </c>
      <c r="F356" t="inlineStr">
        <is>
          <t>SKÅNE LÄN</t>
        </is>
      </c>
      <c r="G356" t="inlineStr">
        <is>
          <t>ÖSTRA GÖINGE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44593</v>
      </c>
      <c r="E357" s="1" t="n">
        <v>46262</v>
      </c>
      <c r="F357" t="inlineStr">
        <is>
          <t>SKÅNE LÄN</t>
        </is>
      </c>
      <c r="G357" t="inlineStr">
        <is>
          <t>ÖSTRA GÖINGE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46262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46262</v>
      </c>
      <c r="F359" t="inlineStr">
        <is>
          <t>SKÅNE LÄN</t>
        </is>
      </c>
      <c r="G359" t="inlineStr">
        <is>
          <t>ÖSTRA GÖINGE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46262</v>
      </c>
      <c r="F360" t="inlineStr">
        <is>
          <t>SKÅNE LÄN</t>
        </is>
      </c>
      <c r="G360" t="inlineStr">
        <is>
          <t>ÖSTRA GÖINGE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46262</v>
      </c>
      <c r="F361" t="inlineStr">
        <is>
          <t>SKÅNE LÄN</t>
        </is>
      </c>
      <c r="G361" t="inlineStr">
        <is>
          <t>ÖSTRA GÖINGE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23596-2026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46262</v>
      </c>
      <c r="F362" t="inlineStr">
        <is>
          <t>SKÅNE LÄN</t>
        </is>
      </c>
      <c r="G362" t="inlineStr">
        <is>
          <t>ÖSTRA GÖINGE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44859</v>
      </c>
      <c r="E363" s="1" t="n">
        <v>46262</v>
      </c>
      <c r="F363" t="inlineStr">
        <is>
          <t>SKÅNE LÄN</t>
        </is>
      </c>
      <c r="G363" t="inlineStr">
        <is>
          <t>ÖSTRA GÖINGE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44958</v>
      </c>
      <c r="E364" s="1" t="n">
        <v>46262</v>
      </c>
      <c r="F364" t="inlineStr">
        <is>
          <t>SKÅNE LÄN</t>
        </is>
      </c>
      <c r="G364" t="inlineStr">
        <is>
          <t>ÖSTRA GÖINGE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44725-2022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44840</v>
      </c>
      <c r="E365" s="1" t="n">
        <v>46262</v>
      </c>
      <c r="F365" t="inlineStr">
        <is>
          <t>SKÅNE LÄN</t>
        </is>
      </c>
      <c r="G365" t="inlineStr">
        <is>
          <t>ÖSTRA GÖINGE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46262</v>
      </c>
      <c r="F366" t="inlineStr">
        <is>
          <t>SKÅNE LÄN</t>
        </is>
      </c>
      <c r="G366" t="inlineStr">
        <is>
          <t>ÖSTRA GÖINGE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50896-2021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44460</v>
      </c>
      <c r="E367" s="1" t="n">
        <v>46262</v>
      </c>
      <c r="F367" t="inlineStr">
        <is>
          <t>SKÅNE LÄN</t>
        </is>
      </c>
      <c r="G367" t="inlineStr">
        <is>
          <t>ÖSTRA GÖINGE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50927-2021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44459</v>
      </c>
      <c r="E368" s="1" t="n">
        <v>46262</v>
      </c>
      <c r="F368" t="inlineStr">
        <is>
          <t>SKÅNE LÄN</t>
        </is>
      </c>
      <c r="G368" t="inlineStr">
        <is>
          <t>ÖSTRA GÖINGE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45198</v>
      </c>
      <c r="E369" s="1" t="n">
        <v>46262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36921-2024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45538</v>
      </c>
      <c r="E370" s="1" t="n">
        <v>46262</v>
      </c>
      <c r="F370" t="inlineStr">
        <is>
          <t>SKÅNE LÄN</t>
        </is>
      </c>
      <c r="G370" t="inlineStr">
        <is>
          <t>ÖSTRA GÖINGE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44585</v>
      </c>
      <c r="E371" s="1" t="n">
        <v>46262</v>
      </c>
      <c r="F371" t="inlineStr">
        <is>
          <t>SKÅNE LÄN</t>
        </is>
      </c>
      <c r="G371" t="inlineStr">
        <is>
          <t>ÖSTRA GÖINGE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10177-2026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46262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45321</v>
      </c>
      <c r="E373" s="1" t="n">
        <v>46262</v>
      </c>
      <c r="F373" t="inlineStr">
        <is>
          <t>SKÅNE LÄN</t>
        </is>
      </c>
      <c r="G373" t="inlineStr">
        <is>
          <t>ÖSTRA GÖINGE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25389-2026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46176</v>
      </c>
      <c r="E374" s="1" t="n">
        <v>46262</v>
      </c>
      <c r="F374" t="inlineStr">
        <is>
          <t>SKÅNE LÄN</t>
        </is>
      </c>
      <c r="G374" t="inlineStr">
        <is>
          <t>ÖSTRA GÖINGE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46262</v>
      </c>
      <c r="F375" t="inlineStr">
        <is>
          <t>SKÅNE LÄN</t>
        </is>
      </c>
      <c r="G375" t="inlineStr">
        <is>
          <t>ÖSTRA GÖINGE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69387-2021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44531</v>
      </c>
      <c r="E376" s="1" t="n">
        <v>46262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45362</v>
      </c>
      <c r="E377" s="1" t="n">
        <v>46262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46262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46262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46262</v>
      </c>
      <c r="F380" t="inlineStr">
        <is>
          <t>SKÅNE LÄN</t>
        </is>
      </c>
      <c r="G380" t="inlineStr">
        <is>
          <t>ÖSTRA GÖINGE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57521-2022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46262</v>
      </c>
      <c r="F381" t="inlineStr">
        <is>
          <t>SKÅNE LÄN</t>
        </is>
      </c>
      <c r="G381" t="inlineStr">
        <is>
          <t>ÖSTRA GÖINGE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46262</v>
      </c>
      <c r="F382" t="inlineStr">
        <is>
          <t>SKÅNE LÄN</t>
        </is>
      </c>
      <c r="G382" t="inlineStr">
        <is>
          <t>ÖSTRA GÖINGE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46262</v>
      </c>
      <c r="F383" t="inlineStr">
        <is>
          <t>SKÅNE LÄN</t>
        </is>
      </c>
      <c r="G383" t="inlineStr">
        <is>
          <t>ÖSTRA GÖINGE</t>
        </is>
      </c>
      <c r="I383" t="n">
        <v>34.5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10497-2022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44623</v>
      </c>
      <c r="E384" s="1" t="n">
        <v>46262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46262</v>
      </c>
      <c r="F385" t="inlineStr">
        <is>
          <t>SKÅNE LÄN</t>
        </is>
      </c>
      <c r="G385" t="inlineStr">
        <is>
          <t>ÖSTRA GÖINGE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26466-2026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46262</v>
      </c>
      <c r="F386" t="inlineStr">
        <is>
          <t>SKÅNE LÄN</t>
        </is>
      </c>
      <c r="G386" t="inlineStr">
        <is>
          <t>ÖSTRA GÖINGE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11635-2025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46262</v>
      </c>
      <c r="F387" t="inlineStr">
        <is>
          <t>SKÅNE LÄN</t>
        </is>
      </c>
      <c r="G387" t="inlineStr">
        <is>
          <t>ÖSTRA GÖINGE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46262</v>
      </c>
      <c r="F388" t="inlineStr">
        <is>
          <t>SKÅNE LÄN</t>
        </is>
      </c>
      <c r="G388" t="inlineStr">
        <is>
          <t>ÖSTRA GÖINGE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45205</v>
      </c>
      <c r="E389" s="1" t="n">
        <v>46262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45489</v>
      </c>
      <c r="E390" s="1" t="n">
        <v>46262</v>
      </c>
      <c r="F390" t="inlineStr">
        <is>
          <t>SKÅNE LÄN</t>
        </is>
      </c>
      <c r="G390" t="inlineStr">
        <is>
          <t>ÖSTRA GÖINGE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45105</v>
      </c>
      <c r="E391" s="1" t="n">
        <v>46262</v>
      </c>
      <c r="F391" t="inlineStr">
        <is>
          <t>SKÅNE LÄN</t>
        </is>
      </c>
      <c r="G391" t="inlineStr">
        <is>
          <t>ÖSTRA GÖINGE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45373</v>
      </c>
      <c r="E392" s="1" t="n">
        <v>46262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46262</v>
      </c>
      <c r="F393" t="inlineStr">
        <is>
          <t>SKÅNE LÄN</t>
        </is>
      </c>
      <c r="G393" t="inlineStr">
        <is>
          <t>ÖSTRA GÖINGE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45203</v>
      </c>
      <c r="E394" s="1" t="n">
        <v>46262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44887</v>
      </c>
      <c r="E395" s="1" t="n">
        <v>46262</v>
      </c>
      <c r="F395" t="inlineStr">
        <is>
          <t>SKÅNE LÄN</t>
        </is>
      </c>
      <c r="G395" t="inlineStr">
        <is>
          <t>ÖSTRA GÖINGE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46262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11802-2025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46262</v>
      </c>
      <c r="F397" t="inlineStr">
        <is>
          <t>SKÅNE LÄN</t>
        </is>
      </c>
      <c r="G397" t="inlineStr">
        <is>
          <t>ÖSTRA GÖINGE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46262</v>
      </c>
      <c r="F398" t="inlineStr">
        <is>
          <t>SKÅNE LÄN</t>
        </is>
      </c>
      <c r="G398" t="inlineStr">
        <is>
          <t>ÖSTRA GÖINGE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46262</v>
      </c>
      <c r="F399" t="inlineStr">
        <is>
          <t>SKÅNE LÄN</t>
        </is>
      </c>
      <c r="G399" t="inlineStr">
        <is>
          <t>ÖSTRA GÖINGE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46262</v>
      </c>
      <c r="F400" t="inlineStr">
        <is>
          <t>SKÅNE LÄN</t>
        </is>
      </c>
      <c r="G400" t="inlineStr">
        <is>
          <t>ÖSTRA GÖINGE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52930-2021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44467</v>
      </c>
      <c r="E401" s="1" t="n">
        <v>46262</v>
      </c>
      <c r="F401" t="inlineStr">
        <is>
          <t>SKÅNE LÄN</t>
        </is>
      </c>
      <c r="G401" t="inlineStr">
        <is>
          <t>ÖSTRA GÖINGE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55716-2024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45622</v>
      </c>
      <c r="E402" s="1" t="n">
        <v>46262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46262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46262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45574</v>
      </c>
      <c r="E405" s="1" t="n">
        <v>46262</v>
      </c>
      <c r="F405" t="inlineStr">
        <is>
          <t>SKÅNE LÄN</t>
        </is>
      </c>
      <c r="G405" t="inlineStr">
        <is>
          <t>ÖSTRA GÖINGE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46262</v>
      </c>
      <c r="F406" t="inlineStr">
        <is>
          <t>SKÅNE LÄN</t>
        </is>
      </c>
      <c r="G406" t="inlineStr">
        <is>
          <t>ÖSTRA GÖINGE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46262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44796</v>
      </c>
      <c r="E408" s="1" t="n">
        <v>46262</v>
      </c>
      <c r="F408" t="inlineStr">
        <is>
          <t>SKÅNE LÄN</t>
        </is>
      </c>
      <c r="G408" t="inlineStr">
        <is>
          <t>ÖSTRA GÖINGE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46262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45078</v>
      </c>
      <c r="E410" s="1" t="n">
        <v>46262</v>
      </c>
      <c r="F410" t="inlineStr">
        <is>
          <t>SKÅNE LÄN</t>
        </is>
      </c>
      <c r="G410" t="inlineStr">
        <is>
          <t>ÖSTRA GÖINGE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49228-2023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45210</v>
      </c>
      <c r="E411" s="1" t="n">
        <v>46262</v>
      </c>
      <c r="F411" t="inlineStr">
        <is>
          <t>SKÅNE LÄN</t>
        </is>
      </c>
      <c r="G411" t="inlineStr">
        <is>
          <t>ÖSTRA GÖINGE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46262</v>
      </c>
      <c r="F412" t="inlineStr">
        <is>
          <t>SKÅNE LÄN</t>
        </is>
      </c>
      <c r="G412" t="inlineStr">
        <is>
          <t>ÖSTRA GÖINGE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20281-2025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45774</v>
      </c>
      <c r="E413" s="1" t="n">
        <v>46262</v>
      </c>
      <c r="F413" t="inlineStr">
        <is>
          <t>SKÅNE LÄN</t>
        </is>
      </c>
      <c r="G413" t="inlineStr">
        <is>
          <t>ÖSTRA GÖINGE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45538</v>
      </c>
      <c r="E414" s="1" t="n">
        <v>46262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46262</v>
      </c>
      <c r="F415" t="inlineStr">
        <is>
          <t>SKÅNE LÄN</t>
        </is>
      </c>
      <c r="G415" t="inlineStr">
        <is>
          <t>ÖSTRA GÖINGE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46262</v>
      </c>
      <c r="F416" t="inlineStr">
        <is>
          <t>SKÅNE LÄN</t>
        </is>
      </c>
      <c r="G416" t="inlineStr">
        <is>
          <t>ÖSTRA GÖINGE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46262</v>
      </c>
      <c r="F417" t="inlineStr">
        <is>
          <t>SKÅNE LÄN</t>
        </is>
      </c>
      <c r="G417" t="inlineStr">
        <is>
          <t>ÖSTRA GÖINGE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44953</v>
      </c>
      <c r="E418" s="1" t="n">
        <v>46262</v>
      </c>
      <c r="F418" t="inlineStr">
        <is>
          <t>SKÅNE LÄN</t>
        </is>
      </c>
      <c r="G418" t="inlineStr">
        <is>
          <t>ÖSTRA GÖINGE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45138</v>
      </c>
      <c r="E419" s="1" t="n">
        <v>46262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23396-2023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45076</v>
      </c>
      <c r="E420" s="1" t="n">
        <v>46262</v>
      </c>
      <c r="F420" t="inlineStr">
        <is>
          <t>SKÅNE LÄN</t>
        </is>
      </c>
      <c r="G420" t="inlineStr">
        <is>
          <t>ÖSTRA GÖINGE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45765</v>
      </c>
      <c r="E421" s="1" t="n">
        <v>46262</v>
      </c>
      <c r="F421" t="inlineStr">
        <is>
          <t>SKÅNE LÄN</t>
        </is>
      </c>
      <c r="G421" t="inlineStr">
        <is>
          <t>ÖSTRA GÖINGE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46262</v>
      </c>
      <c r="F422" t="inlineStr">
        <is>
          <t>SKÅNE LÄN</t>
        </is>
      </c>
      <c r="G422" t="inlineStr">
        <is>
          <t>ÖSTRA GÖINGE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46262</v>
      </c>
      <c r="F423" t="inlineStr">
        <is>
          <t>SKÅNE LÄN</t>
        </is>
      </c>
      <c r="G423" t="inlineStr">
        <is>
          <t>ÖSTRA GÖINGE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30111-2026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46206</v>
      </c>
      <c r="E424" s="1" t="n">
        <v>46262</v>
      </c>
      <c r="F424" t="inlineStr">
        <is>
          <t>SKÅNE LÄN</t>
        </is>
      </c>
      <c r="G424" t="inlineStr">
        <is>
          <t>ÖSTRA GÖINGE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46262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33552-2026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46248</v>
      </c>
      <c r="E426" s="1" t="n">
        <v>46262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46262</v>
      </c>
      <c r="F427" t="inlineStr">
        <is>
          <t>SKÅNE LÄN</t>
        </is>
      </c>
      <c r="G427" t="inlineStr">
        <is>
          <t>ÖSTRA GÖINGE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46262</v>
      </c>
      <c r="F428" t="inlineStr">
        <is>
          <t>SKÅNE LÄN</t>
        </is>
      </c>
      <c r="G428" t="inlineStr">
        <is>
          <t>ÖSTRA GÖINGE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29859-2026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46262</v>
      </c>
      <c r="F429" t="inlineStr">
        <is>
          <t>SKÅNE LÄN</t>
        </is>
      </c>
      <c r="G429" t="inlineStr">
        <is>
          <t>ÖSTRA GÖINGE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46262</v>
      </c>
      <c r="F430" t="inlineStr">
        <is>
          <t>SKÅNE LÄN</t>
        </is>
      </c>
      <c r="G430" t="inlineStr">
        <is>
          <t>ÖSTRA GÖINGE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46262</v>
      </c>
      <c r="F431" t="inlineStr">
        <is>
          <t>SKÅNE LÄN</t>
        </is>
      </c>
      <c r="G431" t="inlineStr">
        <is>
          <t>ÖSTRA GÖINGE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46262</v>
      </c>
      <c r="F432" t="inlineStr">
        <is>
          <t>SKÅNE LÄN</t>
        </is>
      </c>
      <c r="G432" t="inlineStr">
        <is>
          <t>ÖSTRA GÖINGE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46262</v>
      </c>
      <c r="F433" t="inlineStr">
        <is>
          <t>SKÅNE LÄN</t>
        </is>
      </c>
      <c r="G433" t="inlineStr">
        <is>
          <t>ÖSTRA GÖINGE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46262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46262</v>
      </c>
      <c r="F435" t="inlineStr">
        <is>
          <t>SKÅNE LÄN</t>
        </is>
      </c>
      <c r="G435" t="inlineStr">
        <is>
          <t>ÖSTRA GÖINGE</t>
        </is>
      </c>
      <c r="H435" t="inlineStr">
        <is>
          <t>Kyrkan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46262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44764-2021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44438</v>
      </c>
      <c r="E437" s="1" t="n">
        <v>46262</v>
      </c>
      <c r="F437" t="inlineStr">
        <is>
          <t>SKÅNE LÄN</t>
        </is>
      </c>
      <c r="G437" t="inlineStr">
        <is>
          <t>ÖSTRA GÖINGE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46262</v>
      </c>
      <c r="F438" t="inlineStr">
        <is>
          <t>SKÅNE LÄN</t>
        </is>
      </c>
      <c r="G438" t="inlineStr">
        <is>
          <t>ÖSTRA GÖINGE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46262</v>
      </c>
      <c r="F439" t="inlineStr">
        <is>
          <t>SKÅNE LÄN</t>
        </is>
      </c>
      <c r="G439" t="inlineStr">
        <is>
          <t>ÖSTRA GÖINGE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46262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47591-2023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46262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46262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46262</v>
      </c>
      <c r="F443" t="inlineStr">
        <is>
          <t>SKÅNE LÄN</t>
        </is>
      </c>
      <c r="G443" t="inlineStr">
        <is>
          <t>ÖSTRA GÖINGE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58868-2021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44489</v>
      </c>
      <c r="E444" s="1" t="n">
        <v>46262</v>
      </c>
      <c r="F444" t="inlineStr">
        <is>
          <t>SKÅNE LÄN</t>
        </is>
      </c>
      <c r="G444" t="inlineStr">
        <is>
          <t>ÖSTRA GÖINGE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46262</v>
      </c>
      <c r="F445" t="inlineStr">
        <is>
          <t>SKÅNE LÄN</t>
        </is>
      </c>
      <c r="G445" t="inlineStr">
        <is>
          <t>ÖSTRA GÖINGE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46262</v>
      </c>
      <c r="F446" t="inlineStr">
        <is>
          <t>SKÅNE LÄN</t>
        </is>
      </c>
      <c r="G446" t="inlineStr">
        <is>
          <t>ÖSTRA GÖINGE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46262</v>
      </c>
      <c r="F447" t="inlineStr">
        <is>
          <t>SKÅNE LÄN</t>
        </is>
      </c>
      <c r="G447" t="inlineStr">
        <is>
          <t>ÖSTRA GÖINGE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34840-2026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46258</v>
      </c>
      <c r="E448" s="1" t="n">
        <v>46262</v>
      </c>
      <c r="F448" t="inlineStr">
        <is>
          <t>SKÅNE LÄN</t>
        </is>
      </c>
      <c r="G448" t="inlineStr">
        <is>
          <t>ÖSTRA GÖINGE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45301</v>
      </c>
      <c r="E449" s="1" t="n">
        <v>46262</v>
      </c>
      <c r="F449" t="inlineStr">
        <is>
          <t>SKÅNE LÄN</t>
        </is>
      </c>
      <c r="G449" t="inlineStr">
        <is>
          <t>ÖSTRA GÖINGE</t>
        </is>
      </c>
      <c r="I449" t="n">
        <v>53.6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2502-2023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45124</v>
      </c>
      <c r="E450" s="1" t="n">
        <v>46262</v>
      </c>
      <c r="F450" t="inlineStr">
        <is>
          <t>SKÅNE LÄN</t>
        </is>
      </c>
      <c r="G450" t="inlineStr">
        <is>
          <t>ÖSTRA GÖINGE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2639-2022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44700</v>
      </c>
      <c r="E451" s="1" t="n">
        <v>46262</v>
      </c>
      <c r="F451" t="inlineStr">
        <is>
          <t>SKÅNE LÄN</t>
        </is>
      </c>
      <c r="G451" t="inlineStr">
        <is>
          <t>ÖSTRA GÖINGE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46262</v>
      </c>
      <c r="F452" t="inlineStr">
        <is>
          <t>SKÅNE LÄN</t>
        </is>
      </c>
      <c r="G452" t="inlineStr">
        <is>
          <t>ÖSTRA GÖINGE</t>
        </is>
      </c>
      <c r="I452" t="n">
        <v>43.3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1043-2022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44613</v>
      </c>
      <c r="E453" s="1" t="n">
        <v>46262</v>
      </c>
      <c r="F453" t="inlineStr">
        <is>
          <t>SKÅNE LÄN</t>
        </is>
      </c>
      <c r="G453" t="inlineStr">
        <is>
          <t>ÖSTRA GÖINGE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46262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46262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46262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46262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46262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2600-2022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46262</v>
      </c>
      <c r="F459" t="inlineStr">
        <is>
          <t>SKÅNE LÄN</t>
        </is>
      </c>
      <c r="G459" t="inlineStr">
        <is>
          <t>ÖSTRA GÖINGE</t>
        </is>
      </c>
      <c r="I459" t="n">
        <v>12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46262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46262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46262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2602-2022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44698</v>
      </c>
      <c r="E463" s="1" t="n">
        <v>46262</v>
      </c>
      <c r="F463" t="inlineStr">
        <is>
          <t>SKÅNE LÄN</t>
        </is>
      </c>
      <c r="G463" t="inlineStr">
        <is>
          <t>ÖSTRA GÖINGE</t>
        </is>
      </c>
      <c r="I463" t="n">
        <v>18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46262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46262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46262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2143-2022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44676</v>
      </c>
      <c r="E467" s="1" t="n">
        <v>46262</v>
      </c>
      <c r="F467" t="inlineStr">
        <is>
          <t>SKÅNE LÄN</t>
        </is>
      </c>
      <c r="G467" t="inlineStr">
        <is>
          <t>ÖSTRA GÖINGE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444-2022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46262</v>
      </c>
      <c r="F468" t="inlineStr">
        <is>
          <t>SKÅNE LÄN</t>
        </is>
      </c>
      <c r="G468" t="inlineStr">
        <is>
          <t>ÖSTRA GÖINGE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6355-2021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44448</v>
      </c>
      <c r="E469" s="1" t="n">
        <v>46262</v>
      </c>
      <c r="F469" t="inlineStr">
        <is>
          <t>SKÅNE LÄN</t>
        </is>
      </c>
      <c r="G469" t="inlineStr">
        <is>
          <t>ÖSTRA GÖINGE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5026-2024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45635</v>
      </c>
      <c r="E470" s="1" t="n">
        <v>46262</v>
      </c>
      <c r="F470" t="inlineStr">
        <is>
          <t>SKÅNE LÄN</t>
        </is>
      </c>
      <c r="G470" t="inlineStr">
        <is>
          <t>ÖSTRA GÖINGE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3730-2022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44742</v>
      </c>
      <c r="E471" s="1" t="n">
        <v>46262</v>
      </c>
      <c r="F471" t="inlineStr">
        <is>
          <t>SKÅNE LÄN</t>
        </is>
      </c>
      <c r="G471" t="inlineStr">
        <is>
          <t>ÖSTRA GÖINGE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3484-2023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45205</v>
      </c>
      <c r="E472" s="1" t="n">
        <v>46262</v>
      </c>
      <c r="F472" t="inlineStr">
        <is>
          <t>SKÅNE LÄN</t>
        </is>
      </c>
      <c r="G472" t="inlineStr">
        <is>
          <t>ÖSTRA GÖINGE</t>
        </is>
      </c>
      <c r="I472" t="n">
        <v>15.7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450-2022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46262</v>
      </c>
      <c r="F473" t="inlineStr">
        <is>
          <t>SKÅNE LÄN</t>
        </is>
      </c>
      <c r="G473" t="inlineStr">
        <is>
          <t>ÖSTRA GÖINGE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46262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46262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46262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46262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46262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46262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46262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46262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46262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46262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46262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46262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46262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46262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46262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46262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46262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2026-08-28T01:54:17Z</dcterms:created>
  <dcterms:modified xmlns:dcterms="http://purl.org/dc/terms/" xmlns:xsi="http://www.w3.org/2001/XMLSchema-instance" xsi:type="dcterms:W3CDTF">2026-08-28T01:54:18Z</dcterms:modified>
</cp:coreProperties>
</file>